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2"/>
  </bookViews>
  <sheets>
    <sheet name="Myntra  Dataset" sheetId="1" r:id="rId1"/>
    <sheet name="Pivort Table" sheetId="9" r:id="rId2"/>
    <sheet name="Dashboard" sheetId="10" r:id="rId3"/>
  </sheets>
  <definedNames>
    <definedName name="Slicer_Category">#N/A</definedName>
    <definedName name="Slicer_Month">#N/A</definedName>
    <definedName name="Slicer_Yea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<sst xmlns="http://schemas.openxmlformats.org/spreadsheetml/2006/main" count="463" uniqueCount="70">
  <si>
    <t>Order ID</t>
  </si>
  <si>
    <t>Product_Name</t>
  </si>
  <si>
    <t>Category</t>
  </si>
  <si>
    <t>Quantity</t>
  </si>
  <si>
    <t>Unit Price</t>
  </si>
  <si>
    <t>Total Sales</t>
  </si>
  <si>
    <t>Discount</t>
  </si>
  <si>
    <t>Profit</t>
  </si>
  <si>
    <t>Payment Type</t>
  </si>
  <si>
    <t>Month</t>
  </si>
  <si>
    <t>Year</t>
  </si>
  <si>
    <t>Saree</t>
  </si>
  <si>
    <t>Women</t>
  </si>
  <si>
    <t>UPI</t>
  </si>
  <si>
    <t>March</t>
  </si>
  <si>
    <t>Jacket</t>
  </si>
  <si>
    <t>Men</t>
  </si>
  <si>
    <t>Cash on Delivery</t>
  </si>
  <si>
    <t>November</t>
  </si>
  <si>
    <t>Frock</t>
  </si>
  <si>
    <t>Kids</t>
  </si>
  <si>
    <t>October</t>
  </si>
  <si>
    <t>Belt</t>
  </si>
  <si>
    <t>Accessories</t>
  </si>
  <si>
    <t>Net Banking</t>
  </si>
  <si>
    <t>Skirt</t>
  </si>
  <si>
    <t>Credit Card</t>
  </si>
  <si>
    <t>December</t>
  </si>
  <si>
    <t>Watch</t>
  </si>
  <si>
    <t>June</t>
  </si>
  <si>
    <t>Blazer</t>
  </si>
  <si>
    <t>Wallet</t>
  </si>
  <si>
    <t>May</t>
  </si>
  <si>
    <t>Track Pants</t>
  </si>
  <si>
    <t>Handbag</t>
  </si>
  <si>
    <t>August</t>
  </si>
  <si>
    <t>February</t>
  </si>
  <si>
    <t>Scarf</t>
  </si>
  <si>
    <t>July</t>
  </si>
  <si>
    <t>Formal Shirt</t>
  </si>
  <si>
    <t>Hoodie</t>
  </si>
  <si>
    <t>General Product</t>
  </si>
  <si>
    <t>Footwear</t>
  </si>
  <si>
    <t>Sweater</t>
  </si>
  <si>
    <t>April</t>
  </si>
  <si>
    <t>January</t>
  </si>
  <si>
    <t>Cardigan</t>
  </si>
  <si>
    <t>September</t>
  </si>
  <si>
    <t>Kurta</t>
  </si>
  <si>
    <t>Cap</t>
  </si>
  <si>
    <t>Necklace</t>
  </si>
  <si>
    <t>Kids T-Shirt</t>
  </si>
  <si>
    <t>Heels</t>
  </si>
  <si>
    <t>Kids Hoodie</t>
  </si>
  <si>
    <t>Leggings</t>
  </si>
  <si>
    <t>Kids Dress</t>
  </si>
  <si>
    <t>Jeans</t>
  </si>
  <si>
    <t>T-Shirt</t>
  </si>
  <si>
    <t>Sunglasses</t>
  </si>
  <si>
    <t>Kids Jeans</t>
  </si>
  <si>
    <t>Kids Shoes</t>
  </si>
  <si>
    <t>Shorts</t>
  </si>
  <si>
    <t>Tops</t>
  </si>
  <si>
    <t>Ring</t>
  </si>
  <si>
    <t>Dress</t>
  </si>
  <si>
    <t>Row Labels</t>
  </si>
  <si>
    <t>Sum of Total Sales</t>
  </si>
  <si>
    <t>Sum of Profit</t>
  </si>
  <si>
    <t>Grand Total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</si>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</sst>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80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  <fill>
        <patternFill patternType="none"/>
      </fill>
      <alignment horizontal="center"/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name val="Calibri"/>
        <scheme val="none"/>
        <b val="1"/>
        <i val="0"/>
        <u val="none"/>
        <sz val="11"/>
        <color theme="7" tint="0.399975585192419"/>
      </font>
    </dxf>
  </dxfs>
  <tableStyles count="2" defaultTableStyle="TableStyleMedium9" defaultPivotStyle="PivotStyleLight16">
    <tableStyle name="TableStylePreset8_Accent4" pivot="0" count="9" xr9:uid="{C6873261-7217-4147-B4B0-DF6D2ADEF0D7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  <tableStyleElement type="secondColumnStripe" dxfId="11"/>
    </tableStyle>
    <tableStyle name="Table Style 1" pivot="0" count="1" xr9:uid="{7EE78F33-061E-45A6-AD32-2E64B97AFBDB}">
      <tableStyleElement type="firstRowStripe" dxfId="20"/>
    </tableStyle>
  </tableStyles>
  <colors>
    <mruColors>
      <color rgb="000BBDC1"/>
      <color rgb="001AED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pivotSource>
    <c:name>[Myntra Sales Dashboard.xlsx]Pivort Table!PivotTable16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u="sng"/>
              <a:t>Monthly</a:t>
            </a:r>
            <a:r>
              <a:rPr lang="en-IN" sz="1200" b="1" u="sng" baseline="0"/>
              <a:t> Revenue </a:t>
            </a:r>
            <a:endParaRPr lang="en-IN" sz="1200" b="1" u="sng"/>
          </a:p>
        </c:rich>
      </c:tx>
      <c:layout/>
      <c:overlay val="0"/>
      <c:spPr>
        <a:ln>
          <a:solidFill>
            <a:schemeClr val="tx2">
              <a:lumMod val="75000"/>
            </a:schemeClr>
          </a:solidFill>
        </a:ln>
      </c:spPr>
    </c:title>
    <c:autoTitleDeleted val="0"/>
    <c:plotArea>
      <c:layout>
        <c:manualLayout>
          <c:layoutTarget val="inner"/>
          <c:xMode val="edge"/>
          <c:yMode val="edge"/>
          <c:x val="0.0344866085720506"/>
          <c:y val="0.133803444094294"/>
          <c:w val="0.942091798350642"/>
          <c:h val="0.637511753844645"/>
        </c:manualLayout>
      </c:layout>
      <c:lineChart>
        <c:grouping val="standard"/>
        <c:varyColors val="0"/>
        <c:ser>
          <c:idx val="0"/>
          <c:order val="0"/>
          <c:tx>
            <c:strRef>
              <c:f>'Pivort Table'!$B$16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'Pivort Table'!$A$17:$A$29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'Pivort Table'!$B$17:$B$29</c:f>
              <c:numCache>
                <c:formatCode>General</c:formatCode>
                <c:ptCount val="12"/>
                <c:pt idx="0">
                  <c:v>105003</c:v>
                </c:pt>
                <c:pt idx="1">
                  <c:v>36791</c:v>
                </c:pt>
                <c:pt idx="2">
                  <c:v>110759</c:v>
                </c:pt>
                <c:pt idx="3">
                  <c:v>117558</c:v>
                </c:pt>
                <c:pt idx="4">
                  <c:v>47981</c:v>
                </c:pt>
                <c:pt idx="5">
                  <c:v>82304</c:v>
                </c:pt>
                <c:pt idx="6">
                  <c:v>67984</c:v>
                </c:pt>
                <c:pt idx="7">
                  <c:v>61873</c:v>
                </c:pt>
                <c:pt idx="8">
                  <c:v>83415</c:v>
                </c:pt>
                <c:pt idx="9">
                  <c:v>30163</c:v>
                </c:pt>
                <c:pt idx="10">
                  <c:v>26440</c:v>
                </c:pt>
                <c:pt idx="11">
                  <c:v>103793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2751744"/>
        <c:axId val="262795648"/>
      </c:lineChart>
      <c:catAx>
        <c:axId val="2627517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2795648"/>
        <c:crosses val="autoZero"/>
        <c:auto val="1"/>
        <c:lblAlgn val="ctr"/>
        <c:lblOffset val="100"/>
        <c:noMultiLvlLbl val="0"/>
      </c:catAx>
      <c:valAx>
        <c:axId val="262795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275174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a009562-870d-4f03-ab34-bcb620bb6b5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u="sng"/>
              <a:t>Revenue</a:t>
            </a:r>
            <a:r>
              <a:rPr lang="en-US" sz="1200" b="1" u="sng" baseline="0"/>
              <a:t> By Payment Type</a:t>
            </a:r>
            <a:endParaRPr lang="en-US" sz="1200" b="1" u="sng"/>
          </a:p>
        </c:rich>
      </c:tx>
      <c:layout/>
      <c:overlay val="0"/>
      <c:spPr>
        <a:ln>
          <a:solidFill>
            <a:schemeClr val="tx2">
              <a:lumMod val="75000"/>
            </a:schemeClr>
          </a:solidFill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{"Cash on Delivery","Credit Card","Net Banking","UPI","Wallet"}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Net Banking</c:v>
                </c:pt>
                <c:pt idx="3">
                  <c:v>UPI</c:v>
                </c:pt>
                <c:pt idx="4">
                  <c:v>Wallet</c:v>
                </c:pt>
              </c:strCache>
            </c:strRef>
          </c:cat>
          <c:val>
            <c:numRef>
              <c:f>{128475,123635,259207,183877,178870}</c:f>
              <c:numCache>
                <c:formatCode>General</c:formatCode>
                <c:ptCount val="5"/>
                <c:pt idx="0">
                  <c:v>128475</c:v>
                </c:pt>
                <c:pt idx="1">
                  <c:v>123635</c:v>
                </c:pt>
                <c:pt idx="2">
                  <c:v>259207</c:v>
                </c:pt>
                <c:pt idx="3">
                  <c:v>183877</c:v>
                </c:pt>
                <c:pt idx="4">
                  <c:v>178870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6c7d78-1d55-4b7a-aa72-7302d5d82b0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pivotSource>
    <c:name>[Myntra Sales Dashboard.xlsx]Pivort Table!PivotTable14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en-US" sz="1200" b="1" i="0" u="sng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u="sng"/>
              <a:t>Top Category By Revenue</a:t>
            </a:r>
            <a:endParaRPr lang="en-US" sz="1200" u="sng"/>
          </a:p>
        </c:rich>
      </c:tx>
      <c:layout>
        <c:manualLayout>
          <c:xMode val="edge"/>
          <c:yMode val="edge"/>
          <c:x val="0.220507602155215"/>
          <c:y val="0.025983840673935"/>
        </c:manualLayout>
      </c:layout>
      <c:overlay val="0"/>
      <c:spPr>
        <a:ln>
          <a:solidFill>
            <a:schemeClr val="tx2">
              <a:lumMod val="75000"/>
            </a:schemeClr>
          </a:solidFill>
        </a:ln>
      </c:spPr>
    </c:title>
    <c:autoTitleDeleted val="0"/>
    <c:plotArea>
      <c:layout>
        <c:manualLayout>
          <c:layoutTarget val="inner"/>
          <c:xMode val="edge"/>
          <c:yMode val="edge"/>
          <c:x val="0.045821344890534"/>
          <c:y val="0.160416666666667"/>
          <c:w val="0.889859577567498"/>
          <c:h val="0.7236034558180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'Pivort Table'!$E$8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'Pivort Table'!$D$9:$D$14</c:f>
              <c:strCache>
                <c:ptCount val="5"/>
                <c:pt idx="0">
                  <c:v>Accessories</c:v>
                </c:pt>
                <c:pt idx="1">
                  <c:v>Footwear</c:v>
                </c:pt>
                <c:pt idx="2">
                  <c:v>Kids</c:v>
                </c:pt>
                <c:pt idx="3">
                  <c:v>Men</c:v>
                </c:pt>
                <c:pt idx="4">
                  <c:v>Women</c:v>
                </c:pt>
              </c:strCache>
            </c:strRef>
          </c:cat>
          <c:val>
            <c:numRef>
              <c:f>'Pivort Table'!$E$9:$E$14</c:f>
              <c:numCache>
                <c:formatCode>General</c:formatCode>
                <c:ptCount val="5"/>
                <c:pt idx="0">
                  <c:v>179777</c:v>
                </c:pt>
                <c:pt idx="1">
                  <c:v>157999</c:v>
                </c:pt>
                <c:pt idx="2">
                  <c:v>177990</c:v>
                </c:pt>
                <c:pt idx="3">
                  <c:v>131403</c:v>
                </c:pt>
                <c:pt idx="4">
                  <c:v>226895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2839296"/>
        <c:axId val="262862720"/>
      </c:barChart>
      <c:catAx>
        <c:axId val="262839296"/>
        <c:scaling>
          <c:orientation val="minMax"/>
        </c:scaling>
        <c:delete val="1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2862720"/>
        <c:crosses val="autoZero"/>
        <c:auto val="1"/>
        <c:lblAlgn val="ctr"/>
        <c:lblOffset val="100"/>
        <c:noMultiLvlLbl val="0"/>
      </c:catAx>
      <c:valAx>
        <c:axId val="262862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28392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1d2542b-9688-40f9-b3f3-44083548b380}"/>
      </c:ext>
    </c:extLst>
  </c:chart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pivotSource>
    <c:name>[Myntra Sales Dashboard.xlsx]Pivort Table!PivotTable12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u="sng"/>
              <a:t>Top</a:t>
            </a:r>
            <a:r>
              <a:rPr lang="en-IN" sz="1200" u="sng" baseline="0"/>
              <a:t> Product By Revenue</a:t>
            </a:r>
            <a:endParaRPr lang="en-IN" sz="1200" u="sng"/>
          </a:p>
        </c:rich>
      </c:tx>
      <c:layout/>
      <c:overlay val="0"/>
      <c:spPr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'Pivort Table'!$B$3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'Pivort Table'!$A$4:$A$14</c:f>
              <c:strCache>
                <c:ptCount val="10"/>
                <c:pt idx="0">
                  <c:v>Cardigan</c:v>
                </c:pt>
                <c:pt idx="1">
                  <c:v>General Product</c:v>
                </c:pt>
                <c:pt idx="2">
                  <c:v>Kids Hoodie</c:v>
                </c:pt>
                <c:pt idx="3">
                  <c:v>Kids Jeans</c:v>
                </c:pt>
                <c:pt idx="4">
                  <c:v>Kurta</c:v>
                </c:pt>
                <c:pt idx="5">
                  <c:v>Necklace</c:v>
                </c:pt>
                <c:pt idx="6">
                  <c:v>Saree</c:v>
                </c:pt>
                <c:pt idx="7">
                  <c:v>Scarf</c:v>
                </c:pt>
                <c:pt idx="8">
                  <c:v>Skirt</c:v>
                </c:pt>
                <c:pt idx="9">
                  <c:v>Sweater</c:v>
                </c:pt>
              </c:strCache>
            </c:strRef>
          </c:cat>
          <c:val>
            <c:numRef>
              <c:f>'Pivort Table'!$B$4:$B$14</c:f>
              <c:numCache>
                <c:formatCode>General</c:formatCode>
                <c:ptCount val="10"/>
                <c:pt idx="0">
                  <c:v>48550</c:v>
                </c:pt>
                <c:pt idx="1">
                  <c:v>157999</c:v>
                </c:pt>
                <c:pt idx="2">
                  <c:v>34602</c:v>
                </c:pt>
                <c:pt idx="3">
                  <c:v>30891</c:v>
                </c:pt>
                <c:pt idx="4">
                  <c:v>30305</c:v>
                </c:pt>
                <c:pt idx="5">
                  <c:v>33888</c:v>
                </c:pt>
                <c:pt idx="6">
                  <c:v>40916</c:v>
                </c:pt>
                <c:pt idx="7">
                  <c:v>51255</c:v>
                </c:pt>
                <c:pt idx="8">
                  <c:v>41844</c:v>
                </c:pt>
                <c:pt idx="9">
                  <c:v>59960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3662976"/>
        <c:axId val="263686400"/>
      </c:barChart>
      <c:catAx>
        <c:axId val="2636629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3686400"/>
        <c:crosses val="autoZero"/>
        <c:auto val="1"/>
        <c:lblAlgn val="ctr"/>
        <c:lblOffset val="100"/>
        <c:noMultiLvlLbl val="0"/>
      </c:catAx>
      <c:valAx>
        <c:axId val="2636864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366297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c44de05-334f-48dc-8364-ba4f373c399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pivotSource>
    <c:name>[Myntra Sales Dashboard.xlsx]Pivort Table!PivotTable13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 b="1" u="sng"/>
              <a:t>Revenue</a:t>
            </a:r>
            <a:r>
              <a:rPr lang="en-IN" sz="1200" b="1" u="sng" baseline="0"/>
              <a:t> By Year</a:t>
            </a:r>
            <a:endParaRPr lang="en-IN" sz="1200" b="1" u="sng"/>
          </a:p>
        </c:rich>
      </c:tx>
      <c:layout/>
      <c:overlay val="0"/>
      <c:spPr>
        <a:ln>
          <a:solidFill>
            <a:schemeClr val="tx2">
              <a:lumMod val="75000"/>
            </a:schemeClr>
          </a:solidFill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'Pivort Table'!$E$3</c:f>
              <c:strCache>
                <c:ptCount val="1"/>
                <c:pt idx="0">
                  <c:v>Sum of Total Sales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'Pivort Table'!$D$4:$D$6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'Pivort Table'!$E$4:$E$6</c:f>
              <c:numCache>
                <c:formatCode>General</c:formatCode>
                <c:ptCount val="2"/>
                <c:pt idx="0">
                  <c:v>419603</c:v>
                </c:pt>
                <c:pt idx="1">
                  <c:v>454461</c:v>
                </c:pt>
              </c:numCache>
            </c:numRef>
          </c:val>
        </c:ser>
        <c:ser>
          <c:idx val="1"/>
          <c:order val="1"/>
          <c:tx>
            <c:strRef>
              <c:f>'Pivort Table'!$F$3</c:f>
              <c:strCache>
                <c:ptCount val="1"/>
                <c:pt idx="0">
                  <c:v>Sum of Profit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'Pivort Table'!$D$4:$D$6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'Pivort Table'!$F$4:$F$6</c:f>
              <c:numCache>
                <c:formatCode>General</c:formatCode>
                <c:ptCount val="2"/>
                <c:pt idx="0">
                  <c:v>73134.72</c:v>
                </c:pt>
                <c:pt idx="1">
                  <c:v>81285.66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3726592"/>
        <c:axId val="263728128"/>
      </c:barChart>
      <c:catAx>
        <c:axId val="26372659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3728128"/>
        <c:crosses val="autoZero"/>
        <c:auto val="1"/>
        <c:lblAlgn val="ctr"/>
        <c:lblOffset val="100"/>
        <c:noMultiLvlLbl val="0"/>
      </c:catAx>
      <c:valAx>
        <c:axId val="2637281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372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2299884134325"/>
          <c:y val="0.245913340850194"/>
          <c:w val="0.27625793481813"/>
          <c:h val="0.323810473680563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ca152c-0a86-405c-89db-ea2aadeab67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37</xdr:row>
      <xdr:rowOff>38100</xdr:rowOff>
    </xdr:to>
    <xdr:sp>
      <xdr:nvSpPr>
        <xdr:cNvPr id="2" name="Rounded Rectangle 1"/>
        <xdr:cNvSpPr/>
      </xdr:nvSpPr>
      <xdr:spPr>
        <a:xfrm>
          <a:off x="0" y="0"/>
          <a:ext cx="11734800" cy="6804660"/>
        </a:xfrm>
        <a:prstGeom prst="roundRect">
          <a:avLst>
            <a:gd name="adj" fmla="val 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81242</xdr:colOff>
      <xdr:row>0</xdr:row>
      <xdr:rowOff>44263</xdr:rowOff>
    </xdr:from>
    <xdr:to>
      <xdr:col>2</xdr:col>
      <xdr:colOff>366992</xdr:colOff>
      <xdr:row>5</xdr:row>
      <xdr:rowOff>15688</xdr:rowOff>
    </xdr:to>
    <xdr:sp>
      <xdr:nvSpPr>
        <xdr:cNvPr id="3" name="Rectangle 2"/>
        <xdr:cNvSpPr/>
      </xdr:nvSpPr>
      <xdr:spPr>
        <a:xfrm>
          <a:off x="80645" y="43815"/>
          <a:ext cx="1520190" cy="885825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74468</xdr:colOff>
      <xdr:row>5</xdr:row>
      <xdr:rowOff>174048</xdr:rowOff>
    </xdr:from>
    <xdr:to>
      <xdr:col>2</xdr:col>
      <xdr:colOff>360218</xdr:colOff>
      <xdr:row>36</xdr:row>
      <xdr:rowOff>0</xdr:rowOff>
    </xdr:to>
    <xdr:sp>
      <xdr:nvSpPr>
        <xdr:cNvPr id="4" name="Rectangle 3"/>
        <xdr:cNvSpPr/>
      </xdr:nvSpPr>
      <xdr:spPr>
        <a:xfrm>
          <a:off x="74295" y="1088390"/>
          <a:ext cx="1520190" cy="5495290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473447</xdr:colOff>
      <xdr:row>0</xdr:row>
      <xdr:rowOff>48696</xdr:rowOff>
    </xdr:from>
    <xdr:to>
      <xdr:col>18</xdr:col>
      <xdr:colOff>481852</xdr:colOff>
      <xdr:row>5</xdr:row>
      <xdr:rowOff>20121</xdr:rowOff>
    </xdr:to>
    <xdr:sp>
      <xdr:nvSpPr>
        <xdr:cNvPr id="5" name="Rectangle 4"/>
        <xdr:cNvSpPr/>
      </xdr:nvSpPr>
      <xdr:spPr>
        <a:xfrm>
          <a:off x="1707515" y="48260"/>
          <a:ext cx="9746615" cy="885825"/>
        </a:xfrm>
        <a:prstGeom prst="rect">
          <a:avLst/>
        </a:prstGeom>
        <a:ln>
          <a:noFill/>
        </a:ln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504265</xdr:colOff>
      <xdr:row>11</xdr:row>
      <xdr:rowOff>57150</xdr:rowOff>
    </xdr:from>
    <xdr:to>
      <xdr:col>10</xdr:col>
      <xdr:colOff>56030</xdr:colOff>
      <xdr:row>22</xdr:row>
      <xdr:rowOff>56029</xdr:rowOff>
    </xdr:to>
    <xdr:sp>
      <xdr:nvSpPr>
        <xdr:cNvPr id="6" name="Rectangle 5"/>
        <xdr:cNvSpPr/>
      </xdr:nvSpPr>
      <xdr:spPr>
        <a:xfrm>
          <a:off x="1738630" y="2068830"/>
          <a:ext cx="4344670" cy="201041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510425</xdr:colOff>
      <xdr:row>6</xdr:row>
      <xdr:rowOff>70445</xdr:rowOff>
    </xdr:from>
    <xdr:to>
      <xdr:col>5</xdr:col>
      <xdr:colOff>526676</xdr:colOff>
      <xdr:row>10</xdr:row>
      <xdr:rowOff>168089</xdr:rowOff>
    </xdr:to>
    <xdr:sp>
      <xdr:nvSpPr>
        <xdr:cNvPr id="9" name="Rectangle 8"/>
        <xdr:cNvSpPr/>
      </xdr:nvSpPr>
      <xdr:spPr>
        <a:xfrm>
          <a:off x="1744345" y="1167130"/>
          <a:ext cx="1868170" cy="82931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33618</xdr:colOff>
      <xdr:row>6</xdr:row>
      <xdr:rowOff>33618</xdr:rowOff>
    </xdr:from>
    <xdr:to>
      <xdr:col>10</xdr:col>
      <xdr:colOff>73077</xdr:colOff>
      <xdr:row>10</xdr:row>
      <xdr:rowOff>154429</xdr:rowOff>
    </xdr:to>
    <xdr:sp>
      <xdr:nvSpPr>
        <xdr:cNvPr id="10" name="Rectangle 9"/>
        <xdr:cNvSpPr/>
      </xdr:nvSpPr>
      <xdr:spPr>
        <a:xfrm>
          <a:off x="4208780" y="1130300"/>
          <a:ext cx="1891665" cy="85280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249329</xdr:colOff>
      <xdr:row>6</xdr:row>
      <xdr:rowOff>49867</xdr:rowOff>
    </xdr:from>
    <xdr:to>
      <xdr:col>18</xdr:col>
      <xdr:colOff>414616</xdr:colOff>
      <xdr:row>22</xdr:row>
      <xdr:rowOff>78442</xdr:rowOff>
    </xdr:to>
    <xdr:sp>
      <xdr:nvSpPr>
        <xdr:cNvPr id="12" name="Rectangle 11"/>
        <xdr:cNvSpPr/>
      </xdr:nvSpPr>
      <xdr:spPr>
        <a:xfrm>
          <a:off x="6276340" y="1146810"/>
          <a:ext cx="5110480" cy="295465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481854</xdr:colOff>
      <xdr:row>23</xdr:row>
      <xdr:rowOff>22411</xdr:rowOff>
    </xdr:from>
    <xdr:to>
      <xdr:col>7</xdr:col>
      <xdr:colOff>593911</xdr:colOff>
      <xdr:row>36</xdr:row>
      <xdr:rowOff>0</xdr:rowOff>
    </xdr:to>
    <xdr:sp>
      <xdr:nvSpPr>
        <xdr:cNvPr id="13" name="Rectangle 12"/>
        <xdr:cNvSpPr/>
      </xdr:nvSpPr>
      <xdr:spPr>
        <a:xfrm>
          <a:off x="1715770" y="4228465"/>
          <a:ext cx="3053715" cy="235521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100853</xdr:colOff>
      <xdr:row>23</xdr:row>
      <xdr:rowOff>33617</xdr:rowOff>
    </xdr:from>
    <xdr:to>
      <xdr:col>13</xdr:col>
      <xdr:colOff>212911</xdr:colOff>
      <xdr:row>36</xdr:row>
      <xdr:rowOff>11206</xdr:rowOff>
    </xdr:to>
    <xdr:sp>
      <xdr:nvSpPr>
        <xdr:cNvPr id="14" name="Rectangle 13"/>
        <xdr:cNvSpPr/>
      </xdr:nvSpPr>
      <xdr:spPr>
        <a:xfrm>
          <a:off x="4893310" y="4239260"/>
          <a:ext cx="3198495" cy="235521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324971</xdr:colOff>
      <xdr:row>23</xdr:row>
      <xdr:rowOff>33617</xdr:rowOff>
    </xdr:from>
    <xdr:to>
      <xdr:col>18</xdr:col>
      <xdr:colOff>437028</xdr:colOff>
      <xdr:row>36</xdr:row>
      <xdr:rowOff>11206</xdr:rowOff>
    </xdr:to>
    <xdr:sp>
      <xdr:nvSpPr>
        <xdr:cNvPr id="15" name="Rectangle 14"/>
        <xdr:cNvSpPr/>
      </xdr:nvSpPr>
      <xdr:spPr>
        <a:xfrm>
          <a:off x="8203565" y="4239260"/>
          <a:ext cx="3206115" cy="235521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246532</xdr:colOff>
      <xdr:row>9</xdr:row>
      <xdr:rowOff>11205</xdr:rowOff>
    </xdr:from>
    <xdr:to>
      <xdr:col>5</xdr:col>
      <xdr:colOff>212913</xdr:colOff>
      <xdr:row>10</xdr:row>
      <xdr:rowOff>112058</xdr:rowOff>
    </xdr:to>
    <xdr:sp textlink="'Pivort Table'!$D$19">
      <xdr:nvSpPr>
        <xdr:cNvPr id="16" name="TextBox 15"/>
        <xdr:cNvSpPr txBox="1"/>
      </xdr:nvSpPr>
      <xdr:spPr>
        <a:xfrm>
          <a:off x="2098040" y="1656715"/>
          <a:ext cx="1200785" cy="283845"/>
        </a:xfrm>
        <a:prstGeom prst="rect">
          <a:avLst/>
        </a:prstGeom>
        <a:ln>
          <a:solidFill>
            <a:srgbClr val="00B0F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C7871C5-9259-4FC1-931A-EB38388B638A}" type="TxLink">
            <a:rPr lang="en-US" sz="16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₹ 8,74,064</a:t>
          </a:fld>
          <a:endParaRPr lang="en-IN" sz="3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33617</xdr:colOff>
      <xdr:row>7</xdr:row>
      <xdr:rowOff>11206</xdr:rowOff>
    </xdr:from>
    <xdr:to>
      <xdr:col>5</xdr:col>
      <xdr:colOff>358589</xdr:colOff>
      <xdr:row>8</xdr:row>
      <xdr:rowOff>156883</xdr:rowOff>
    </xdr:to>
    <xdr:sp>
      <xdr:nvSpPr>
        <xdr:cNvPr id="18" name="TextBox 17"/>
        <xdr:cNvSpPr txBox="1"/>
      </xdr:nvSpPr>
      <xdr:spPr>
        <a:xfrm>
          <a:off x="1884680" y="1290955"/>
          <a:ext cx="1559560" cy="328930"/>
        </a:xfrm>
        <a:prstGeom prst="rect">
          <a:avLst/>
        </a:prstGeom>
        <a:ln>
          <a:solidFill>
            <a:srgbClr val="00B0F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Total</a:t>
          </a:r>
          <a:r>
            <a:rPr lang="en-IN" sz="1800" b="1" baseline="0"/>
            <a:t> Sales</a:t>
          </a:r>
          <a:endParaRPr lang="en-IN" sz="1800" b="1"/>
        </a:p>
      </xdr:txBody>
    </xdr:sp>
    <xdr:clientData/>
  </xdr:twoCellAnchor>
  <xdr:twoCellAnchor>
    <xdr:from>
      <xdr:col>10</xdr:col>
      <xdr:colOff>212912</xdr:colOff>
      <xdr:row>6</xdr:row>
      <xdr:rowOff>49867</xdr:rowOff>
    </xdr:from>
    <xdr:to>
      <xdr:col>18</xdr:col>
      <xdr:colOff>459441</xdr:colOff>
      <xdr:row>22</xdr:row>
      <xdr:rowOff>100853</xdr:rowOff>
    </xdr:to>
    <xdr:graphicFrame>
      <xdr:nvGraphicFramePr>
        <xdr:cNvPr id="22" name="Chart 21"/>
        <xdr:cNvGraphicFramePr/>
      </xdr:nvGraphicFramePr>
      <xdr:xfrm>
        <a:off x="6240145" y="1146810"/>
        <a:ext cx="5191760" cy="2976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336176</xdr:colOff>
      <xdr:row>9</xdr:row>
      <xdr:rowOff>11206</xdr:rowOff>
    </xdr:from>
    <xdr:to>
      <xdr:col>9</xdr:col>
      <xdr:colOff>392206</xdr:colOff>
      <xdr:row>10</xdr:row>
      <xdr:rowOff>100854</xdr:rowOff>
    </xdr:to>
    <xdr:sp textlink="'Pivort Table'!F19">
      <xdr:nvSpPr>
        <xdr:cNvPr id="19" name="TextBox 18"/>
        <xdr:cNvSpPr txBox="1"/>
      </xdr:nvSpPr>
      <xdr:spPr>
        <a:xfrm>
          <a:off x="4511675" y="1656715"/>
          <a:ext cx="1290320" cy="272415"/>
        </a:xfrm>
        <a:prstGeom prst="rect">
          <a:avLst/>
        </a:prstGeom>
        <a:ln>
          <a:solidFill>
            <a:srgbClr val="00B0F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5C70CA0-F96A-4EB9-B2B9-C1CFC04B465B}" type="TxLink">
            <a:rPr lang="en-US" sz="16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₹ 1,54,420</a:t>
          </a:fld>
          <a:endParaRPr lang="en-IN" sz="1600" b="1"/>
        </a:p>
      </xdr:txBody>
    </xdr:sp>
    <xdr:clientData/>
  </xdr:twoCellAnchor>
  <xdr:twoCellAnchor>
    <xdr:from>
      <xdr:col>7</xdr:col>
      <xdr:colOff>224117</xdr:colOff>
      <xdr:row>7</xdr:row>
      <xdr:rowOff>11206</xdr:rowOff>
    </xdr:from>
    <xdr:to>
      <xdr:col>9</xdr:col>
      <xdr:colOff>547482</xdr:colOff>
      <xdr:row>8</xdr:row>
      <xdr:rowOff>155506</xdr:rowOff>
    </xdr:to>
    <xdr:sp>
      <xdr:nvSpPr>
        <xdr:cNvPr id="20" name="TextBox 19"/>
        <xdr:cNvSpPr txBox="1"/>
      </xdr:nvSpPr>
      <xdr:spPr>
        <a:xfrm>
          <a:off x="4399280" y="1290955"/>
          <a:ext cx="1558290" cy="327025"/>
        </a:xfrm>
        <a:prstGeom prst="rect">
          <a:avLst/>
        </a:prstGeom>
        <a:ln>
          <a:solidFill>
            <a:srgbClr val="00B0F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Total</a:t>
          </a:r>
          <a:r>
            <a:rPr lang="en-IN" sz="1800" b="1" baseline="0"/>
            <a:t> Profit</a:t>
          </a:r>
          <a:endParaRPr lang="en-IN" sz="1800" b="1"/>
        </a:p>
      </xdr:txBody>
    </xdr:sp>
    <xdr:clientData/>
  </xdr:twoCellAnchor>
  <xdr:twoCellAnchor>
    <xdr:from>
      <xdr:col>2</xdr:col>
      <xdr:colOff>493058</xdr:colOff>
      <xdr:row>23</xdr:row>
      <xdr:rowOff>11206</xdr:rowOff>
    </xdr:from>
    <xdr:to>
      <xdr:col>7</xdr:col>
      <xdr:colOff>593911</xdr:colOff>
      <xdr:row>36</xdr:row>
      <xdr:rowOff>20168</xdr:rowOff>
    </xdr:to>
    <xdr:graphicFrame>
      <xdr:nvGraphicFramePr>
        <xdr:cNvPr id="23" name="Chart 22"/>
        <xdr:cNvGraphicFramePr/>
      </xdr:nvGraphicFramePr>
      <xdr:xfrm>
        <a:off x="1727200" y="4217035"/>
        <a:ext cx="3042285" cy="2386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100853</xdr:colOff>
      <xdr:row>23</xdr:row>
      <xdr:rowOff>33618</xdr:rowOff>
    </xdr:from>
    <xdr:to>
      <xdr:col>13</xdr:col>
      <xdr:colOff>201706</xdr:colOff>
      <xdr:row>36</xdr:row>
      <xdr:rowOff>33618</xdr:rowOff>
    </xdr:to>
    <xdr:graphicFrame>
      <xdr:nvGraphicFramePr>
        <xdr:cNvPr id="24" name="Chart 23"/>
        <xdr:cNvGraphicFramePr/>
      </xdr:nvGraphicFramePr>
      <xdr:xfrm>
        <a:off x="4893310" y="4239260"/>
        <a:ext cx="3187065" cy="237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515470</xdr:colOff>
      <xdr:row>11</xdr:row>
      <xdr:rowOff>67235</xdr:rowOff>
    </xdr:from>
    <xdr:to>
      <xdr:col>10</xdr:col>
      <xdr:colOff>100852</xdr:colOff>
      <xdr:row>22</xdr:row>
      <xdr:rowOff>89647</xdr:rowOff>
    </xdr:to>
    <xdr:graphicFrame>
      <xdr:nvGraphicFramePr>
        <xdr:cNvPr id="21" name="Chart 20"/>
        <xdr:cNvGraphicFramePr/>
      </xdr:nvGraphicFramePr>
      <xdr:xfrm>
        <a:off x="1749425" y="2078355"/>
        <a:ext cx="4378325" cy="2034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313765</xdr:colOff>
      <xdr:row>23</xdr:row>
      <xdr:rowOff>33616</xdr:rowOff>
    </xdr:from>
    <xdr:to>
      <xdr:col>18</xdr:col>
      <xdr:colOff>481853</xdr:colOff>
      <xdr:row>36</xdr:row>
      <xdr:rowOff>22412</xdr:rowOff>
    </xdr:to>
    <xdr:graphicFrame>
      <xdr:nvGraphicFramePr>
        <xdr:cNvPr id="25" name="Chart 24"/>
        <xdr:cNvGraphicFramePr/>
      </xdr:nvGraphicFramePr>
      <xdr:xfrm>
        <a:off x="8192770" y="4239260"/>
        <a:ext cx="3261360" cy="2366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166407</xdr:colOff>
      <xdr:row>25</xdr:row>
      <xdr:rowOff>144557</xdr:rowOff>
    </xdr:from>
    <xdr:to>
      <xdr:col>2</xdr:col>
      <xdr:colOff>288172</xdr:colOff>
      <xdr:row>35</xdr:row>
      <xdr:rowOff>75557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370" y="4716145"/>
              <a:ext cx="1355725" cy="1759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149600</xdr:colOff>
      <xdr:row>6</xdr:row>
      <xdr:rowOff>49305</xdr:rowOff>
    </xdr:from>
    <xdr:to>
      <xdr:col>2</xdr:col>
      <xdr:colOff>307365</xdr:colOff>
      <xdr:row>19</xdr:row>
      <xdr:rowOff>128805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225" y="1146175"/>
              <a:ext cx="1392555" cy="2456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155202</xdr:colOff>
      <xdr:row>20</xdr:row>
      <xdr:rowOff>43701</xdr:rowOff>
    </xdr:from>
    <xdr:to>
      <xdr:col>2</xdr:col>
      <xdr:colOff>312967</xdr:colOff>
      <xdr:row>25</xdr:row>
      <xdr:rowOff>27201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940" y="3700780"/>
              <a:ext cx="1391920" cy="897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313766</xdr:colOff>
      <xdr:row>0</xdr:row>
      <xdr:rowOff>156889</xdr:rowOff>
    </xdr:from>
    <xdr:to>
      <xdr:col>2</xdr:col>
      <xdr:colOff>215479</xdr:colOff>
      <xdr:row>5</xdr:row>
      <xdr:rowOff>0</xdr:rowOff>
    </xdr:to>
    <xdr:pic>
      <xdr:nvPicPr>
        <xdr:cNvPr id="28" name="Picture 27" descr="https://logos-world.net/wp-content/uploads/2021/02/New-Myntra-Logo.png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690" y="156845"/>
          <a:ext cx="1136015" cy="757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414618</xdr:colOff>
      <xdr:row>1</xdr:row>
      <xdr:rowOff>33618</xdr:rowOff>
    </xdr:from>
    <xdr:to>
      <xdr:col>16</xdr:col>
      <xdr:colOff>268942</xdr:colOff>
      <xdr:row>4</xdr:row>
      <xdr:rowOff>11206</xdr:rowOff>
    </xdr:to>
    <xdr:sp>
      <xdr:nvSpPr>
        <xdr:cNvPr id="17" name="TextBox 16"/>
        <xdr:cNvSpPr txBox="1"/>
      </xdr:nvSpPr>
      <xdr:spPr>
        <a:xfrm>
          <a:off x="2882900" y="215900"/>
          <a:ext cx="7116445" cy="52641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b="1" i="1" cap="none" spc="0">
              <a:ln w="10541" cmpd="sng">
                <a:solidFill>
                  <a:schemeClr val="tx2">
                    <a:lumMod val="60000"/>
                    <a:lumOff val="40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tint val="40000"/>
                      <a:satMod val="250000"/>
                    </a:schemeClr>
                  </a:gs>
                  <a:gs pos="9000">
                    <a:schemeClr val="accent1">
                      <a:tint val="52000"/>
                      <a:satMod val="300000"/>
                    </a:schemeClr>
                  </a:gs>
                  <a:gs pos="50000">
                    <a:schemeClr val="accent1">
                      <a:shade val="20000"/>
                      <a:satMod val="300000"/>
                    </a:schemeClr>
                  </a:gs>
                  <a:gs pos="79000">
                    <a:schemeClr val="accent1">
                      <a:tint val="52000"/>
                      <a:satMod val="300000"/>
                    </a:schemeClr>
                  </a:gs>
                  <a:gs pos="100000">
                    <a:schemeClr val="accent1">
                      <a:tint val="40000"/>
                      <a:satMod val="250000"/>
                    </a:schemeClr>
                  </a:gs>
                </a:gsLst>
                <a:lin ang="5400000"/>
              </a:gradFill>
              <a:effectLst/>
              <a:latin typeface="Franklin Gothic Heavy" panose="020B0903020102020204" pitchFamily="34" charset="0"/>
            </a:rPr>
            <a:t>Myntra Sales</a:t>
          </a:r>
          <a:r>
            <a:rPr lang="en-IN" sz="3200" b="1" i="1" cap="none" spc="0" baseline="0">
              <a:ln w="10541" cmpd="sng">
                <a:solidFill>
                  <a:schemeClr val="tx2">
                    <a:lumMod val="60000"/>
                    <a:lumOff val="40000"/>
                  </a:schemeClr>
                </a:solidFill>
                <a:prstDash val="solid"/>
              </a:ln>
              <a:gradFill>
                <a:gsLst>
                  <a:gs pos="0">
                    <a:schemeClr val="accent1">
                      <a:tint val="40000"/>
                      <a:satMod val="250000"/>
                    </a:schemeClr>
                  </a:gs>
                  <a:gs pos="9000">
                    <a:schemeClr val="accent1">
                      <a:tint val="52000"/>
                      <a:satMod val="300000"/>
                    </a:schemeClr>
                  </a:gs>
                  <a:gs pos="50000">
                    <a:schemeClr val="accent1">
                      <a:shade val="20000"/>
                      <a:satMod val="300000"/>
                    </a:schemeClr>
                  </a:gs>
                  <a:gs pos="79000">
                    <a:schemeClr val="accent1">
                      <a:tint val="52000"/>
                      <a:satMod val="300000"/>
                    </a:schemeClr>
                  </a:gs>
                  <a:gs pos="100000">
                    <a:schemeClr val="accent1">
                      <a:tint val="40000"/>
                      <a:satMod val="250000"/>
                    </a:schemeClr>
                  </a:gs>
                </a:gsLst>
                <a:lin ang="5400000"/>
              </a:gradFill>
              <a:effectLst/>
              <a:latin typeface="Franklin Gothic Heavy" panose="020B0903020102020204" pitchFamily="34" charset="0"/>
            </a:rPr>
            <a:t> Dashboard</a:t>
          </a:r>
          <a:endParaRPr lang="en-IN" sz="3200" b="1" i="1" cap="none" spc="0">
            <a:ln w="10541" cmpd="sng">
              <a:solidFill>
                <a:schemeClr val="tx2">
                  <a:lumMod val="60000"/>
                  <a:lumOff val="4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  <a:latin typeface="Franklin Gothic Heavy" panose="020B09030201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5938.9758005787" refreshedBy="Sachin Jagtap" recordCount="100">
  <cacheSource type="worksheet">
    <worksheetSource name="Table1"/>
  </cacheSource>
  <cacheFields count="11">
    <cacheField name="Order ID" numFmtId="0"/>
    <cacheField name="Product_Name" numFmtId="0">
      <sharedItems count="33">
        <s v="Saree"/>
        <s v="Jacket"/>
        <s v="Frock"/>
        <s v="Belt"/>
        <s v="Skirt"/>
        <s v="Watch"/>
        <s v="Blazer"/>
        <s v="Track Pants"/>
        <s v="Handbag"/>
        <s v="Scarf"/>
        <s v="Formal Shirt"/>
        <s v="Hoodie"/>
        <s v="General Product"/>
        <s v="Sweater"/>
        <s v="Wallet"/>
        <s v="Cardigan"/>
        <s v="Kurta"/>
        <s v="Cap"/>
        <s v="Necklace"/>
        <s v="Kids T-Shirt"/>
        <s v="Heels"/>
        <s v="Kids Hoodie"/>
        <s v="Leggings"/>
        <s v="Kids Dress"/>
        <s v="Jeans"/>
        <s v="T-Shirt"/>
        <s v="Sunglasses"/>
        <s v="Kids Jeans"/>
        <s v="Kids Shoes"/>
        <s v="Shorts"/>
        <s v="Tops"/>
        <s v="Ring"/>
        <s v="Dress"/>
      </sharedItems>
    </cacheField>
    <cacheField name="Category" numFmtId="0">
      <sharedItems count="5">
        <s v="Women"/>
        <s v="Men"/>
        <s v="Kids"/>
        <s v="Accessories"/>
        <s v="Footwear"/>
      </sharedItems>
    </cacheField>
    <cacheField name="Quantity" numFmtId="0"/>
    <cacheField name="Unit Price" numFmtId="0"/>
    <cacheField name="Total Sales" numFmtId="0"/>
    <cacheField name="Discount" numFmtId="0"/>
    <cacheField name="Profit" numFmtId="0"/>
    <cacheField name="Payment Type" numFmtId="0">
      <sharedItems count="5">
        <s v="UPI"/>
        <s v="Cash on Delivery"/>
        <s v="Net Banking"/>
        <s v="Credit Card"/>
        <s v="Wallet"/>
      </sharedItems>
    </cacheField>
    <cacheField name="Month" numFmtId="0">
      <sharedItems count="12">
        <s v="March"/>
        <s v="November"/>
        <s v="October"/>
        <s v="December"/>
        <s v="June"/>
        <s v="May"/>
        <s v="August"/>
        <s v="February"/>
        <s v="July"/>
        <s v="April"/>
        <s v="January"/>
        <s v="September"/>
      </sharedItems>
    </cacheField>
    <cacheField name="Year" numFmtId="0">
      <sharedItems containsSemiMixedTypes="0" containsString="0" containsNumber="1" containsInteger="1" minValue="0" maxValue="2025" count="2">
        <n v="2025"/>
        <n v="202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001"/>
    <x v="0"/>
    <x v="0"/>
    <n v="5"/>
    <n v="4107"/>
    <n v="20535"/>
    <n v="0.14000000000000001"/>
    <n v="1881.5"/>
    <x v="0"/>
    <x v="0"/>
    <x v="0"/>
  </r>
  <r>
    <n v="1002"/>
    <x v="1"/>
    <x v="1"/>
    <n v="3"/>
    <n v="2092"/>
    <n v="6276"/>
    <n v="0.2"/>
    <n v="461.75"/>
    <x v="1"/>
    <x v="1"/>
    <x v="1"/>
  </r>
  <r>
    <n v="1003"/>
    <x v="2"/>
    <x v="2"/>
    <n v="2"/>
    <n v="766"/>
    <n v="1532"/>
    <n v="0.23"/>
    <n v="104.18"/>
    <x v="1"/>
    <x v="2"/>
    <x v="0"/>
  </r>
  <r>
    <n v="1004"/>
    <x v="3"/>
    <x v="3"/>
    <n v="1"/>
    <n v="1065"/>
    <n v="1065"/>
    <n v="0.14000000000000001"/>
    <n v="67.72"/>
    <x v="2"/>
    <x v="2"/>
    <x v="1"/>
  </r>
  <r>
    <n v="1005"/>
    <x v="4"/>
    <x v="0"/>
    <n v="2"/>
    <n v="4332"/>
    <n v="8664"/>
    <n v="0.1"/>
    <n v="773.15"/>
    <x v="3"/>
    <x v="3"/>
    <x v="0"/>
  </r>
  <r>
    <n v="1006"/>
    <x v="5"/>
    <x v="3"/>
    <n v="2"/>
    <n v="4745"/>
    <n v="9490"/>
    <n v="0.23"/>
    <n v="1404.01"/>
    <x v="2"/>
    <x v="4"/>
    <x v="0"/>
  </r>
  <r>
    <n v="1007"/>
    <x v="6"/>
    <x v="1"/>
    <n v="4"/>
    <n v="2911"/>
    <n v="11644"/>
    <n v="0.11"/>
    <n v="1625.67"/>
    <x v="4"/>
    <x v="5"/>
    <x v="1"/>
  </r>
  <r>
    <n v="1008"/>
    <x v="7"/>
    <x v="1"/>
    <n v="1"/>
    <n v="2811"/>
    <n v="2811"/>
    <n v="0.3"/>
    <n v="277.83999999999997"/>
    <x v="3"/>
    <x v="1"/>
    <x v="0"/>
  </r>
  <r>
    <n v="1009"/>
    <x v="8"/>
    <x v="3"/>
    <n v="3"/>
    <n v="1412"/>
    <n v="4236"/>
    <n v="0.24"/>
    <n v="414.81"/>
    <x v="0"/>
    <x v="6"/>
    <x v="0"/>
  </r>
  <r>
    <n v="1010"/>
    <x v="3"/>
    <x v="3"/>
    <n v="3"/>
    <n v="1784"/>
    <n v="5352"/>
    <n v="0.11"/>
    <n v="517.54"/>
    <x v="2"/>
    <x v="7"/>
    <x v="1"/>
  </r>
  <r>
    <n v="1011"/>
    <x v="9"/>
    <x v="3"/>
    <n v="2"/>
    <n v="3843"/>
    <n v="7686"/>
    <n v="0.14000000000000001"/>
    <n v="1918.78"/>
    <x v="1"/>
    <x v="6"/>
    <x v="1"/>
  </r>
  <r>
    <n v="1012"/>
    <x v="8"/>
    <x v="3"/>
    <n v="4"/>
    <n v="4417"/>
    <n v="17668"/>
    <n v="0.12"/>
    <n v="1910.69"/>
    <x v="1"/>
    <x v="8"/>
    <x v="1"/>
  </r>
  <r>
    <n v="1013"/>
    <x v="10"/>
    <x v="1"/>
    <n v="2"/>
    <n v="3362"/>
    <n v="6724"/>
    <n v="0.09"/>
    <n v="508.71"/>
    <x v="4"/>
    <x v="7"/>
    <x v="0"/>
  </r>
  <r>
    <n v="1014"/>
    <x v="11"/>
    <x v="1"/>
    <n v="2"/>
    <n v="3416"/>
    <n v="6832"/>
    <n v="0.28000000000000003"/>
    <n v="1758.43"/>
    <x v="1"/>
    <x v="6"/>
    <x v="1"/>
  </r>
  <r>
    <n v="1015"/>
    <x v="12"/>
    <x v="4"/>
    <n v="5"/>
    <n v="4015"/>
    <n v="20075"/>
    <n v="0.28999999999999998"/>
    <n v="3604.19"/>
    <x v="4"/>
    <x v="4"/>
    <x v="1"/>
  </r>
  <r>
    <n v="1016"/>
    <x v="13"/>
    <x v="2"/>
    <n v="4"/>
    <n v="4045"/>
    <n v="16180"/>
    <n v="0.28999999999999998"/>
    <n v="4823.34"/>
    <x v="2"/>
    <x v="3"/>
    <x v="1"/>
  </r>
  <r>
    <n v="1017"/>
    <x v="9"/>
    <x v="3"/>
    <n v="3"/>
    <n v="3734"/>
    <n v="11202"/>
    <n v="0.23"/>
    <n v="2732.73"/>
    <x v="2"/>
    <x v="9"/>
    <x v="0"/>
  </r>
  <r>
    <n v="1018"/>
    <x v="14"/>
    <x v="3"/>
    <n v="3"/>
    <n v="3042"/>
    <n v="9126"/>
    <n v="0.14000000000000001"/>
    <n v="1046.68"/>
    <x v="0"/>
    <x v="9"/>
    <x v="0"/>
  </r>
  <r>
    <n v="1019"/>
    <x v="5"/>
    <x v="3"/>
    <n v="5"/>
    <n v="2242"/>
    <n v="11210"/>
    <n v="0.05"/>
    <n v="3021.76"/>
    <x v="2"/>
    <x v="10"/>
    <x v="1"/>
  </r>
  <r>
    <n v="1020"/>
    <x v="15"/>
    <x v="0"/>
    <n v="4"/>
    <n v="3198"/>
    <n v="12792"/>
    <n v="0.08"/>
    <n v="3012.53"/>
    <x v="3"/>
    <x v="11"/>
    <x v="1"/>
  </r>
  <r>
    <n v="1021"/>
    <x v="16"/>
    <x v="0"/>
    <n v="5"/>
    <n v="1480"/>
    <n v="7400"/>
    <n v="0.28000000000000003"/>
    <n v="875.94"/>
    <x v="4"/>
    <x v="3"/>
    <x v="0"/>
  </r>
  <r>
    <n v="1022"/>
    <x v="12"/>
    <x v="4"/>
    <n v="2"/>
    <n v="1184"/>
    <n v="2368"/>
    <n v="0.25"/>
    <n v="151.13999999999999"/>
    <x v="2"/>
    <x v="4"/>
    <x v="0"/>
  </r>
  <r>
    <n v="1023"/>
    <x v="17"/>
    <x v="2"/>
    <n v="2"/>
    <n v="3533"/>
    <n v="7066"/>
    <n v="0.22"/>
    <n v="2066.31"/>
    <x v="2"/>
    <x v="4"/>
    <x v="0"/>
  </r>
  <r>
    <n v="1024"/>
    <x v="18"/>
    <x v="3"/>
    <n v="5"/>
    <n v="4422"/>
    <n v="22110"/>
    <n v="0.28000000000000003"/>
    <n v="5481.18"/>
    <x v="2"/>
    <x v="9"/>
    <x v="0"/>
  </r>
  <r>
    <n v="1025"/>
    <x v="19"/>
    <x v="2"/>
    <n v="3"/>
    <n v="1777"/>
    <n v="5331"/>
    <n v="0.1"/>
    <n v="300.39999999999998"/>
    <x v="2"/>
    <x v="7"/>
    <x v="0"/>
  </r>
  <r>
    <n v="1026"/>
    <x v="0"/>
    <x v="0"/>
    <n v="3"/>
    <n v="3813"/>
    <n v="11439"/>
    <n v="0.15"/>
    <n v="2384.6999999999998"/>
    <x v="4"/>
    <x v="0"/>
    <x v="0"/>
  </r>
  <r>
    <n v="1027"/>
    <x v="9"/>
    <x v="3"/>
    <n v="4"/>
    <n v="2231"/>
    <n v="8924"/>
    <n v="0.22"/>
    <n v="680.59"/>
    <x v="3"/>
    <x v="10"/>
    <x v="1"/>
  </r>
  <r>
    <n v="1028"/>
    <x v="20"/>
    <x v="0"/>
    <n v="1"/>
    <n v="4593"/>
    <n v="4593"/>
    <n v="0.2"/>
    <n v="625.72"/>
    <x v="4"/>
    <x v="4"/>
    <x v="1"/>
  </r>
  <r>
    <n v="1029"/>
    <x v="21"/>
    <x v="2"/>
    <n v="1"/>
    <n v="3381"/>
    <n v="3381"/>
    <n v="0.28999999999999998"/>
    <n v="840.58"/>
    <x v="3"/>
    <x v="4"/>
    <x v="0"/>
  </r>
  <r>
    <n v="1030"/>
    <x v="20"/>
    <x v="0"/>
    <n v="3"/>
    <n v="3296"/>
    <n v="9888"/>
    <n v="0.18"/>
    <n v="2748.21"/>
    <x v="3"/>
    <x v="3"/>
    <x v="0"/>
  </r>
  <r>
    <n v="1031"/>
    <x v="22"/>
    <x v="0"/>
    <n v="1"/>
    <n v="2605"/>
    <n v="2605"/>
    <n v="0.05"/>
    <n v="515.86"/>
    <x v="4"/>
    <x v="1"/>
    <x v="0"/>
  </r>
  <r>
    <n v="1032"/>
    <x v="12"/>
    <x v="4"/>
    <n v="3"/>
    <n v="1462"/>
    <n v="4386"/>
    <n v="0.13"/>
    <n v="798.27"/>
    <x v="1"/>
    <x v="6"/>
    <x v="1"/>
  </r>
  <r>
    <n v="1033"/>
    <x v="15"/>
    <x v="0"/>
    <n v="2"/>
    <n v="2540"/>
    <n v="5080"/>
    <n v="7.0000000000000007E-2"/>
    <n v="1130.01"/>
    <x v="0"/>
    <x v="11"/>
    <x v="0"/>
  </r>
  <r>
    <n v="1034"/>
    <x v="13"/>
    <x v="2"/>
    <n v="4"/>
    <n v="3377"/>
    <n v="13508"/>
    <n v="0.15"/>
    <n v="2867.73"/>
    <x v="4"/>
    <x v="0"/>
    <x v="0"/>
  </r>
  <r>
    <n v="1035"/>
    <x v="12"/>
    <x v="4"/>
    <n v="2"/>
    <n v="1933"/>
    <n v="3866"/>
    <n v="0.13"/>
    <n v="734.49"/>
    <x v="2"/>
    <x v="8"/>
    <x v="1"/>
  </r>
  <r>
    <n v="1036"/>
    <x v="12"/>
    <x v="4"/>
    <n v="2"/>
    <n v="4741"/>
    <n v="9482"/>
    <n v="0.24"/>
    <n v="2586.98"/>
    <x v="1"/>
    <x v="3"/>
    <x v="1"/>
  </r>
  <r>
    <n v="1037"/>
    <x v="13"/>
    <x v="2"/>
    <n v="4"/>
    <n v="3580"/>
    <n v="14320"/>
    <n v="7.0000000000000007E-2"/>
    <n v="3851.78"/>
    <x v="0"/>
    <x v="10"/>
    <x v="1"/>
  </r>
  <r>
    <n v="1038"/>
    <x v="9"/>
    <x v="3"/>
    <n v="1"/>
    <n v="961"/>
    <n v="961"/>
    <n v="7.0000000000000007E-2"/>
    <n v="253.92"/>
    <x v="1"/>
    <x v="3"/>
    <x v="0"/>
  </r>
  <r>
    <n v="1039"/>
    <x v="22"/>
    <x v="0"/>
    <n v="2"/>
    <n v="2532"/>
    <n v="5064"/>
    <n v="0.28000000000000003"/>
    <n v="913.57"/>
    <x v="2"/>
    <x v="6"/>
    <x v="1"/>
  </r>
  <r>
    <n v="1040"/>
    <x v="23"/>
    <x v="2"/>
    <n v="2"/>
    <n v="2659"/>
    <n v="5318"/>
    <n v="0.12"/>
    <n v="1287.99"/>
    <x v="0"/>
    <x v="2"/>
    <x v="1"/>
  </r>
  <r>
    <n v="1041"/>
    <x v="12"/>
    <x v="4"/>
    <n v="4"/>
    <n v="1781"/>
    <n v="7124"/>
    <n v="0.23"/>
    <n v="832.5"/>
    <x v="2"/>
    <x v="8"/>
    <x v="0"/>
  </r>
  <r>
    <n v="1042"/>
    <x v="24"/>
    <x v="1"/>
    <n v="1"/>
    <n v="4618"/>
    <n v="4618"/>
    <n v="0.12"/>
    <n v="1114.6300000000001"/>
    <x v="2"/>
    <x v="5"/>
    <x v="0"/>
  </r>
  <r>
    <n v="1043"/>
    <x v="9"/>
    <x v="3"/>
    <n v="3"/>
    <n v="4738"/>
    <n v="14214"/>
    <n v="0.3"/>
    <n v="3051"/>
    <x v="2"/>
    <x v="3"/>
    <x v="0"/>
  </r>
  <r>
    <n v="1044"/>
    <x v="25"/>
    <x v="1"/>
    <n v="1"/>
    <n v="3007"/>
    <n v="3007"/>
    <n v="0.14000000000000001"/>
    <n v="712.22"/>
    <x v="3"/>
    <x v="1"/>
    <x v="0"/>
  </r>
  <r>
    <n v="1045"/>
    <x v="18"/>
    <x v="3"/>
    <n v="3"/>
    <n v="3926"/>
    <n v="11778"/>
    <n v="0.08"/>
    <n v="2201.3000000000002"/>
    <x v="3"/>
    <x v="3"/>
    <x v="0"/>
  </r>
  <r>
    <n v="1046"/>
    <x v="16"/>
    <x v="0"/>
    <n v="5"/>
    <n v="4581"/>
    <n v="22905"/>
    <n v="0.08"/>
    <n v="5492.81"/>
    <x v="2"/>
    <x v="0"/>
    <x v="0"/>
  </r>
  <r>
    <n v="1047"/>
    <x v="3"/>
    <x v="3"/>
    <n v="4"/>
    <n v="2819"/>
    <n v="11276"/>
    <n v="0.21"/>
    <n v="1159.82"/>
    <x v="4"/>
    <x v="11"/>
    <x v="1"/>
  </r>
  <r>
    <n v="1048"/>
    <x v="21"/>
    <x v="2"/>
    <n v="5"/>
    <n v="652"/>
    <n v="3260"/>
    <n v="0.12"/>
    <n v="198.75"/>
    <x v="0"/>
    <x v="5"/>
    <x v="1"/>
  </r>
  <r>
    <n v="1049"/>
    <x v="15"/>
    <x v="0"/>
    <n v="5"/>
    <n v="3984"/>
    <n v="19920"/>
    <n v="0.05"/>
    <n v="4023.27"/>
    <x v="0"/>
    <x v="9"/>
    <x v="0"/>
  </r>
  <r>
    <n v="1050"/>
    <x v="0"/>
    <x v="0"/>
    <n v="2"/>
    <n v="2791"/>
    <n v="5582"/>
    <n v="0.24"/>
    <n v="1364.06"/>
    <x v="2"/>
    <x v="10"/>
    <x v="0"/>
  </r>
  <r>
    <n v="1051"/>
    <x v="26"/>
    <x v="3"/>
    <n v="3"/>
    <n v="1954"/>
    <n v="5862"/>
    <n v="0.13"/>
    <n v="777.3"/>
    <x v="2"/>
    <x v="11"/>
    <x v="1"/>
  </r>
  <r>
    <n v="1052"/>
    <x v="12"/>
    <x v="4"/>
    <n v="1"/>
    <n v="4150"/>
    <n v="4150"/>
    <n v="0.18"/>
    <n v="852.07"/>
    <x v="2"/>
    <x v="0"/>
    <x v="1"/>
  </r>
  <r>
    <n v="1053"/>
    <x v="4"/>
    <x v="0"/>
    <n v="5"/>
    <n v="4507"/>
    <n v="22535"/>
    <n v="0.22"/>
    <n v="2830.38"/>
    <x v="1"/>
    <x v="4"/>
    <x v="1"/>
  </r>
  <r>
    <n v="1054"/>
    <x v="27"/>
    <x v="2"/>
    <n v="1"/>
    <n v="4945"/>
    <n v="4945"/>
    <n v="0.13"/>
    <n v="360.1"/>
    <x v="3"/>
    <x v="5"/>
    <x v="1"/>
  </r>
  <r>
    <n v="1055"/>
    <x v="12"/>
    <x v="4"/>
    <n v="5"/>
    <n v="1655"/>
    <n v="8275"/>
    <n v="0.15"/>
    <n v="1361.37"/>
    <x v="3"/>
    <x v="2"/>
    <x v="0"/>
  </r>
  <r>
    <n v="1056"/>
    <x v="13"/>
    <x v="1"/>
    <n v="1"/>
    <n v="4997"/>
    <n v="4997"/>
    <n v="0.05"/>
    <n v="517.11"/>
    <x v="1"/>
    <x v="3"/>
    <x v="1"/>
  </r>
  <r>
    <n v="1057"/>
    <x v="0"/>
    <x v="0"/>
    <n v="5"/>
    <n v="672"/>
    <n v="3360"/>
    <n v="0.21"/>
    <n v="631.25"/>
    <x v="2"/>
    <x v="1"/>
    <x v="1"/>
  </r>
  <r>
    <n v="1058"/>
    <x v="12"/>
    <x v="4"/>
    <n v="3"/>
    <n v="4258"/>
    <n v="12774"/>
    <n v="0.25"/>
    <n v="2376.81"/>
    <x v="3"/>
    <x v="0"/>
    <x v="0"/>
  </r>
  <r>
    <n v="1059"/>
    <x v="12"/>
    <x v="4"/>
    <n v="4"/>
    <n v="4613"/>
    <n v="18452"/>
    <n v="0.14000000000000001"/>
    <n v="4638.84"/>
    <x v="2"/>
    <x v="8"/>
    <x v="0"/>
  </r>
  <r>
    <n v="1060"/>
    <x v="13"/>
    <x v="1"/>
    <n v="5"/>
    <n v="2191"/>
    <n v="10955"/>
    <n v="0.21"/>
    <n v="2113.88"/>
    <x v="0"/>
    <x v="9"/>
    <x v="0"/>
  </r>
  <r>
    <n v="1061"/>
    <x v="7"/>
    <x v="1"/>
    <n v="4"/>
    <n v="2545"/>
    <n v="10180"/>
    <n v="0.24"/>
    <n v="1519.88"/>
    <x v="4"/>
    <x v="6"/>
    <x v="0"/>
  </r>
  <r>
    <n v="1062"/>
    <x v="28"/>
    <x v="2"/>
    <n v="1"/>
    <n v="2333"/>
    <n v="2333"/>
    <n v="0.3"/>
    <n v="607.42999999999995"/>
    <x v="3"/>
    <x v="1"/>
    <x v="1"/>
  </r>
  <r>
    <n v="1063"/>
    <x v="12"/>
    <x v="4"/>
    <n v="2"/>
    <n v="2722"/>
    <n v="5444"/>
    <n v="0.06"/>
    <n v="528.78"/>
    <x v="2"/>
    <x v="8"/>
    <x v="1"/>
  </r>
  <r>
    <n v="1064"/>
    <x v="3"/>
    <x v="3"/>
    <n v="4"/>
    <n v="1343"/>
    <n v="5372"/>
    <n v="0.06"/>
    <n v="303.69"/>
    <x v="0"/>
    <x v="1"/>
    <x v="0"/>
  </r>
  <r>
    <n v="1065"/>
    <x v="4"/>
    <x v="0"/>
    <n v="3"/>
    <n v="3323"/>
    <n v="9969"/>
    <n v="0.3"/>
    <n v="2306.1"/>
    <x v="0"/>
    <x v="10"/>
    <x v="0"/>
  </r>
  <r>
    <n v="1066"/>
    <x v="12"/>
    <x v="4"/>
    <n v="1"/>
    <n v="1831"/>
    <n v="1831"/>
    <n v="0.11"/>
    <n v="374.5"/>
    <x v="4"/>
    <x v="9"/>
    <x v="1"/>
  </r>
  <r>
    <n v="1067"/>
    <x v="29"/>
    <x v="2"/>
    <n v="1"/>
    <n v="1153"/>
    <n v="1153"/>
    <n v="0.13"/>
    <n v="337.19"/>
    <x v="3"/>
    <x v="2"/>
    <x v="0"/>
  </r>
  <r>
    <n v="1068"/>
    <x v="7"/>
    <x v="1"/>
    <n v="2"/>
    <n v="2581"/>
    <n v="5162"/>
    <n v="0.23"/>
    <n v="1055.1099999999999"/>
    <x v="3"/>
    <x v="4"/>
    <x v="1"/>
  </r>
  <r>
    <n v="1069"/>
    <x v="24"/>
    <x v="1"/>
    <n v="2"/>
    <n v="4313"/>
    <n v="8626"/>
    <n v="0.28999999999999998"/>
    <n v="1024.72"/>
    <x v="3"/>
    <x v="7"/>
    <x v="0"/>
  </r>
  <r>
    <n v="1070"/>
    <x v="4"/>
    <x v="0"/>
    <n v="1"/>
    <n v="676"/>
    <n v="676"/>
    <n v="0.22"/>
    <n v="129.13999999999999"/>
    <x v="3"/>
    <x v="1"/>
    <x v="0"/>
  </r>
  <r>
    <n v="1071"/>
    <x v="19"/>
    <x v="2"/>
    <n v="3"/>
    <n v="4738"/>
    <n v="14214"/>
    <n v="0.05"/>
    <n v="2935.52"/>
    <x v="4"/>
    <x v="6"/>
    <x v="1"/>
  </r>
  <r>
    <n v="1072"/>
    <x v="9"/>
    <x v="3"/>
    <n v="3"/>
    <n v="2756"/>
    <n v="8268"/>
    <n v="0.21"/>
    <n v="1305.8800000000001"/>
    <x v="4"/>
    <x v="0"/>
    <x v="0"/>
  </r>
  <r>
    <n v="1073"/>
    <x v="30"/>
    <x v="0"/>
    <n v="1"/>
    <n v="2228"/>
    <n v="2228"/>
    <n v="0.1"/>
    <n v="283.06"/>
    <x v="4"/>
    <x v="9"/>
    <x v="0"/>
  </r>
  <r>
    <n v="1074"/>
    <x v="29"/>
    <x v="1"/>
    <n v="2"/>
    <n v="3817"/>
    <n v="7634"/>
    <n v="0.15"/>
    <n v="1560.43"/>
    <x v="2"/>
    <x v="4"/>
    <x v="1"/>
  </r>
  <r>
    <n v="1075"/>
    <x v="3"/>
    <x v="3"/>
    <n v="1"/>
    <n v="1174"/>
    <n v="1174"/>
    <n v="0.17"/>
    <n v="273.14"/>
    <x v="3"/>
    <x v="3"/>
    <x v="0"/>
  </r>
  <r>
    <n v="1076"/>
    <x v="21"/>
    <x v="2"/>
    <n v="2"/>
    <n v="2823"/>
    <n v="5646"/>
    <n v="0.28000000000000003"/>
    <n v="1006.5"/>
    <x v="4"/>
    <x v="9"/>
    <x v="1"/>
  </r>
  <r>
    <n v="1077"/>
    <x v="12"/>
    <x v="4"/>
    <n v="2"/>
    <n v="2782"/>
    <n v="5564"/>
    <n v="0.09"/>
    <n v="491.73"/>
    <x v="1"/>
    <x v="11"/>
    <x v="1"/>
  </r>
  <r>
    <n v="1078"/>
    <x v="21"/>
    <x v="2"/>
    <n v="2"/>
    <n v="1630"/>
    <n v="3260"/>
    <n v="0.14000000000000001"/>
    <n v="575.27"/>
    <x v="2"/>
    <x v="5"/>
    <x v="1"/>
  </r>
  <r>
    <n v="1079"/>
    <x v="19"/>
    <x v="2"/>
    <n v="4"/>
    <n v="2649"/>
    <n v="10596"/>
    <n v="0.17"/>
    <n v="1985.46"/>
    <x v="4"/>
    <x v="9"/>
    <x v="0"/>
  </r>
  <r>
    <n v="1080"/>
    <x v="28"/>
    <x v="2"/>
    <n v="1"/>
    <n v="3176"/>
    <n v="3176"/>
    <n v="0.24"/>
    <n v="543.57000000000005"/>
    <x v="3"/>
    <x v="10"/>
    <x v="1"/>
  </r>
  <r>
    <n v="1081"/>
    <x v="21"/>
    <x v="2"/>
    <n v="5"/>
    <n v="3811"/>
    <n v="19055"/>
    <n v="0.1"/>
    <n v="2709.78"/>
    <x v="2"/>
    <x v="3"/>
    <x v="0"/>
  </r>
  <r>
    <n v="1082"/>
    <x v="30"/>
    <x v="0"/>
    <n v="5"/>
    <n v="3086"/>
    <n v="15430"/>
    <n v="0.05"/>
    <n v="3101.86"/>
    <x v="0"/>
    <x v="8"/>
    <x v="0"/>
  </r>
  <r>
    <n v="1083"/>
    <x v="7"/>
    <x v="1"/>
    <n v="4"/>
    <n v="2997"/>
    <n v="11988"/>
    <n v="0.13"/>
    <n v="1568.23"/>
    <x v="2"/>
    <x v="11"/>
    <x v="1"/>
  </r>
  <r>
    <n v="1084"/>
    <x v="12"/>
    <x v="4"/>
    <n v="2"/>
    <n v="4799"/>
    <n v="9598"/>
    <n v="0.12"/>
    <n v="2713"/>
    <x v="4"/>
    <x v="11"/>
    <x v="1"/>
  </r>
  <r>
    <n v="1085"/>
    <x v="12"/>
    <x v="4"/>
    <n v="1"/>
    <n v="4920"/>
    <n v="4920"/>
    <n v="0.1"/>
    <n v="484.35"/>
    <x v="2"/>
    <x v="0"/>
    <x v="1"/>
  </r>
  <r>
    <n v="1086"/>
    <x v="23"/>
    <x v="2"/>
    <n v="5"/>
    <n v="3554"/>
    <n v="17770"/>
    <n v="7.0000000000000007E-2"/>
    <n v="1932.9"/>
    <x v="4"/>
    <x v="9"/>
    <x v="1"/>
  </r>
  <r>
    <n v="1087"/>
    <x v="12"/>
    <x v="4"/>
    <n v="3"/>
    <n v="4870"/>
    <n v="14610"/>
    <n v="0.23"/>
    <n v="1038.28"/>
    <x v="1"/>
    <x v="11"/>
    <x v="1"/>
  </r>
  <r>
    <n v="1088"/>
    <x v="15"/>
    <x v="0"/>
    <n v="3"/>
    <n v="2947"/>
    <n v="8841"/>
    <n v="0.15"/>
    <n v="895.45"/>
    <x v="0"/>
    <x v="7"/>
    <x v="0"/>
  </r>
  <r>
    <n v="1089"/>
    <x v="10"/>
    <x v="1"/>
    <n v="2"/>
    <n v="3087"/>
    <n v="6174"/>
    <n v="0.1"/>
    <n v="1285.6600000000001"/>
    <x v="0"/>
    <x v="9"/>
    <x v="1"/>
  </r>
  <r>
    <n v="1090"/>
    <x v="12"/>
    <x v="4"/>
    <n v="4"/>
    <n v="3205"/>
    <n v="12820"/>
    <n v="0.15"/>
    <n v="2326.5300000000002"/>
    <x v="0"/>
    <x v="2"/>
    <x v="0"/>
  </r>
  <r>
    <n v="1091"/>
    <x v="29"/>
    <x v="1"/>
    <n v="4"/>
    <n v="3625"/>
    <n v="14500"/>
    <n v="0.16"/>
    <n v="970.68"/>
    <x v="0"/>
    <x v="10"/>
    <x v="0"/>
  </r>
  <r>
    <n v="1092"/>
    <x v="27"/>
    <x v="2"/>
    <n v="2"/>
    <n v="3208"/>
    <n v="6416"/>
    <n v="0.2"/>
    <n v="1651.27"/>
    <x v="1"/>
    <x v="10"/>
    <x v="0"/>
  </r>
  <r>
    <n v="1093"/>
    <x v="10"/>
    <x v="1"/>
    <n v="5"/>
    <n v="1855"/>
    <n v="9275"/>
    <n v="0.05"/>
    <n v="1137.96"/>
    <x v="4"/>
    <x v="6"/>
    <x v="1"/>
  </r>
  <r>
    <n v="1094"/>
    <x v="15"/>
    <x v="0"/>
    <n v="3"/>
    <n v="639"/>
    <n v="1917"/>
    <n v="0.12"/>
    <n v="493.92"/>
    <x v="2"/>
    <x v="7"/>
    <x v="1"/>
  </r>
  <r>
    <n v="1095"/>
    <x v="31"/>
    <x v="3"/>
    <n v="2"/>
    <n v="3079"/>
    <n v="6158"/>
    <n v="0.2"/>
    <n v="762.43"/>
    <x v="2"/>
    <x v="5"/>
    <x v="1"/>
  </r>
  <r>
    <n v="1096"/>
    <x v="27"/>
    <x v="2"/>
    <n v="5"/>
    <n v="3906"/>
    <n v="19530"/>
    <n v="0.26"/>
    <n v="4216.88"/>
    <x v="1"/>
    <x v="10"/>
    <x v="1"/>
  </r>
  <r>
    <n v="1097"/>
    <x v="12"/>
    <x v="4"/>
    <n v="5"/>
    <n v="2452"/>
    <n v="12260"/>
    <n v="0.3"/>
    <n v="2167.5500000000002"/>
    <x v="2"/>
    <x v="0"/>
    <x v="1"/>
  </r>
  <r>
    <n v="1098"/>
    <x v="26"/>
    <x v="3"/>
    <n v="3"/>
    <n v="2215"/>
    <n v="6645"/>
    <n v="0.13"/>
    <n v="1520.26"/>
    <x v="0"/>
    <x v="11"/>
    <x v="1"/>
  </r>
  <r>
    <n v="1099"/>
    <x v="32"/>
    <x v="0"/>
    <n v="4"/>
    <n v="2844"/>
    <n v="11376"/>
    <n v="0.26"/>
    <n v="2605.89"/>
    <x v="0"/>
    <x v="10"/>
    <x v="1"/>
  </r>
  <r>
    <n v="1100"/>
    <x v="20"/>
    <x v="0"/>
    <n v="4"/>
    <n v="3524"/>
    <n v="14096"/>
    <n v="0.13"/>
    <n v="2119.5500000000002"/>
    <x v="3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I3:J9" firstHeaderRow="1" firstDataRow="1" firstDataCol="1"/>
  <pivotFields count="11">
    <pivotField showAll="0"/>
    <pivotField measureFilter="1" showAll="0">
      <items count="34">
        <item x="3"/>
        <item x="6"/>
        <item x="17"/>
        <item x="15"/>
        <item x="32"/>
        <item x="10"/>
        <item x="2"/>
        <item x="12"/>
        <item x="8"/>
        <item x="20"/>
        <item x="11"/>
        <item x="1"/>
        <item x="24"/>
        <item x="23"/>
        <item x="21"/>
        <item x="27"/>
        <item x="28"/>
        <item x="19"/>
        <item x="16"/>
        <item x="22"/>
        <item x="18"/>
        <item x="31"/>
        <item x="0"/>
        <item x="9"/>
        <item x="29"/>
        <item x="4"/>
        <item x="26"/>
        <item x="13"/>
        <item x="30"/>
        <item x="7"/>
        <item x="25"/>
        <item x="1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H16:H17" firstHeaderRow="1" firstDataRow="1" firstDataCol="0"/>
  <pivotFields count="11">
    <pivotField showAll="0"/>
    <pivotField showAll="0">
      <items count="34">
        <item x="3"/>
        <item x="6"/>
        <item x="17"/>
        <item x="15"/>
        <item x="32"/>
        <item x="10"/>
        <item x="2"/>
        <item x="12"/>
        <item x="8"/>
        <item x="20"/>
        <item x="11"/>
        <item x="1"/>
        <item x="24"/>
        <item x="23"/>
        <item x="21"/>
        <item x="27"/>
        <item x="28"/>
        <item x="19"/>
        <item x="16"/>
        <item x="22"/>
        <item x="18"/>
        <item x="31"/>
        <item x="0"/>
        <item x="9"/>
        <item x="29"/>
        <item x="4"/>
        <item x="26"/>
        <item x="13"/>
        <item x="30"/>
        <item x="7"/>
        <item x="25"/>
        <item x="1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dataFields count="1">
    <dataField name="Sum of Discount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D16:D17" firstHeaderRow="1" firstDataRow="1" firstDataCol="0"/>
  <pivotFields count="11">
    <pivotField showAll="0"/>
    <pivotField measureFilter="1" showAll="0">
      <items count="34">
        <item x="3"/>
        <item x="6"/>
        <item x="17"/>
        <item x="15"/>
        <item x="32"/>
        <item x="10"/>
        <item x="2"/>
        <item x="12"/>
        <item x="8"/>
        <item x="20"/>
        <item x="11"/>
        <item x="1"/>
        <item x="24"/>
        <item x="23"/>
        <item x="21"/>
        <item x="27"/>
        <item x="28"/>
        <item x="19"/>
        <item x="16"/>
        <item x="22"/>
        <item x="18"/>
        <item x="31"/>
        <item x="0"/>
        <item x="9"/>
        <item x="29"/>
        <item x="4"/>
        <item x="26"/>
        <item x="13"/>
        <item x="30"/>
        <item x="7"/>
        <item x="25"/>
        <item x="1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dataFields count="1">
    <dataField name="Sum of Total Sales" fld="5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 chartFormat="3">
  <location ref="D8:E14" firstHeaderRow="1" firstDataRow="1" firstDataCol="1"/>
  <pivotFields count="11">
    <pivotField showAll="0"/>
    <pivotField measureFilter="1" showAll="0">
      <items count="34">
        <item x="3"/>
        <item x="6"/>
        <item x="17"/>
        <item x="15"/>
        <item x="32"/>
        <item x="10"/>
        <item x="2"/>
        <item x="12"/>
        <item x="8"/>
        <item x="20"/>
        <item x="11"/>
        <item x="1"/>
        <item x="24"/>
        <item x="23"/>
        <item x="21"/>
        <item x="27"/>
        <item x="28"/>
        <item x="19"/>
        <item x="16"/>
        <item x="22"/>
        <item x="18"/>
        <item x="31"/>
        <item x="0"/>
        <item x="9"/>
        <item x="29"/>
        <item x="4"/>
        <item x="26"/>
        <item x="13"/>
        <item x="30"/>
        <item x="7"/>
        <item x="25"/>
        <item x="14"/>
        <item x="5"/>
        <item t="default"/>
      </items>
    </pivotField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 chartFormat="4">
  <location ref="A16:B29" firstHeaderRow="1" firstDataRow="1" firstDataCol="1"/>
  <pivotFields count="11">
    <pivotField showAll="0"/>
    <pivotField measureFilter="1" showAll="0">
      <items count="34">
        <item x="3"/>
        <item x="6"/>
        <item x="17"/>
        <item x="15"/>
        <item x="32"/>
        <item x="10"/>
        <item x="2"/>
        <item x="12"/>
        <item x="8"/>
        <item x="20"/>
        <item x="11"/>
        <item x="1"/>
        <item x="24"/>
        <item x="23"/>
        <item x="21"/>
        <item x="27"/>
        <item x="28"/>
        <item x="19"/>
        <item x="16"/>
        <item x="22"/>
        <item x="18"/>
        <item x="31"/>
        <item x="0"/>
        <item x="9"/>
        <item x="29"/>
        <item x="4"/>
        <item x="26"/>
        <item x="13"/>
        <item x="30"/>
        <item x="7"/>
        <item x="25"/>
        <item x="14"/>
        <item x="5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10"/>
        <item x="7"/>
        <item x="0"/>
        <item x="9"/>
        <item x="5"/>
        <item x="4"/>
        <item x="8"/>
        <item x="6"/>
        <item x="11"/>
        <item x="2"/>
        <item x="1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F16:F17" firstHeaderRow="1" firstDataRow="1" firstDataCol="0"/>
  <pivotFields count="11">
    <pivotField showAll="0"/>
    <pivotField showAll="0">
      <items count="34">
        <item x="3"/>
        <item x="6"/>
        <item x="17"/>
        <item x="15"/>
        <item x="32"/>
        <item x="10"/>
        <item x="2"/>
        <item x="12"/>
        <item x="8"/>
        <item x="20"/>
        <item x="11"/>
        <item x="1"/>
        <item x="24"/>
        <item x="23"/>
        <item x="21"/>
        <item x="27"/>
        <item x="28"/>
        <item x="19"/>
        <item x="16"/>
        <item x="22"/>
        <item x="18"/>
        <item x="31"/>
        <item x="0"/>
        <item x="9"/>
        <item x="29"/>
        <item x="4"/>
        <item x="26"/>
        <item x="13"/>
        <item x="30"/>
        <item x="7"/>
        <item x="25"/>
        <item x="1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</pivotFields>
  <dataFields count="1">
    <dataField name="Sum of Profit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 chartFormat="4">
  <location ref="D3:F6" firstHeaderRow="0" firstDataRow="1" firstDataCol="1"/>
  <pivotFields count="11">
    <pivotField showAll="0"/>
    <pivotField measureFilter="1" showAll="0">
      <items count="34">
        <item x="3"/>
        <item x="6"/>
        <item x="17"/>
        <item x="15"/>
        <item x="32"/>
        <item x="10"/>
        <item x="2"/>
        <item x="12"/>
        <item x="8"/>
        <item x="20"/>
        <item x="11"/>
        <item x="1"/>
        <item x="24"/>
        <item x="23"/>
        <item x="21"/>
        <item x="27"/>
        <item x="28"/>
        <item x="19"/>
        <item x="16"/>
        <item x="22"/>
        <item x="18"/>
        <item x="31"/>
        <item x="0"/>
        <item x="9"/>
        <item x="29"/>
        <item x="4"/>
        <item x="26"/>
        <item x="13"/>
        <item x="30"/>
        <item x="7"/>
        <item x="25"/>
        <item x="14"/>
        <item x="5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5" baseField="0" baseItem="0"/>
    <dataField name="Sum of Profit" fld="7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 chartFormat="4">
  <location ref="A3:B14" firstHeaderRow="1" firstDataRow="1" firstDataCol="1"/>
  <pivotFields count="11">
    <pivotField showAll="0"/>
    <pivotField axis="axisRow" measureFilter="1" showAll="0">
      <items count="34">
        <item x="3"/>
        <item x="6"/>
        <item x="17"/>
        <item x="15"/>
        <item x="32"/>
        <item x="10"/>
        <item x="2"/>
        <item x="12"/>
        <item x="8"/>
        <item x="20"/>
        <item x="11"/>
        <item x="1"/>
        <item x="24"/>
        <item x="23"/>
        <item x="21"/>
        <item x="27"/>
        <item x="28"/>
        <item x="19"/>
        <item x="16"/>
        <item x="22"/>
        <item x="18"/>
        <item x="31"/>
        <item x="0"/>
        <item x="9"/>
        <item x="29"/>
        <item x="4"/>
        <item x="26"/>
        <item x="13"/>
        <item x="30"/>
        <item x="7"/>
        <item x="25"/>
        <item x="1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11">
    <i>
      <x v="3"/>
    </i>
    <i>
      <x v="7"/>
    </i>
    <i>
      <x v="14"/>
    </i>
    <i>
      <x v="15"/>
    </i>
    <i>
      <x v="18"/>
    </i>
    <i>
      <x v="20"/>
    </i>
    <i>
      <x v="22"/>
    </i>
    <i>
      <x v="23"/>
    </i>
    <i>
      <x v="25"/>
    </i>
    <i>
      <x v="27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9" name="PivotTable16"/>
  </pivotTables>
  <data>
    <tabular pivotCacheId="1">
      <items count="5">
        <i x="3" s="1"/>
        <i x="4" s="1"/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9" name="PivotTable16"/>
  </pivotTables>
  <data>
    <tabular pivotCacheId="1">
      <items count="12">
        <i x="10" s="1"/>
        <i x="7" s="1"/>
        <i x="0" s="1"/>
        <i x="9" s="1"/>
        <i x="5" s="1"/>
        <i x="4" s="1"/>
        <i x="8" s="1"/>
        <i x="6" s="1"/>
        <i x="11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9" name="PivotTable16"/>
    <pivotTable tabId="9" name="PivotTable12"/>
    <pivotTable tabId="9" name="PivotTable13"/>
    <pivotTable tabId="9" name="PivotTable14"/>
    <pivotTable tabId="9" name="PivotTable17"/>
    <pivotTable tabId="9" name="PivotTable18"/>
    <pivotTable tabId="9" name="PivotTable19"/>
    <pivotTable tabId="9" name="PivotTable1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41300"/>
  <slicer name="Month" cache="Slicer_Month" caption="Month" rowHeight="241300"/>
  <slicer name="Year" cache="Slicer_Year" caption="Year" rowHeight="241300"/>
</slicers>
</file>

<file path=xl/tables/table1.xml><?xml version="1.0" encoding="utf-8"?>
<table xmlns="http://schemas.openxmlformats.org/spreadsheetml/2006/main" id="1" name="Table1" displayName="Table1" ref="A1:K101">
  <autoFilter xmlns:etc="http://www.wps.cn/officeDocument/2017/etCustomData" ref="A1:K101" etc:filterBottomFollowUsedRange="0"/>
  <tableColumns count="11">
    <tableColumn id="1" name="Order ID" dataDxfId="0" totalsRowLabel="Total"/>
    <tableColumn id="2" name="Product_Name" dataDxfId="1"/>
    <tableColumn id="3" name="Category" dataDxfId="2"/>
    <tableColumn id="4" name="Quantity" dataDxfId="3"/>
    <tableColumn id="5" name="Unit Price" dataDxfId="4"/>
    <tableColumn id="6" name="Total Sales" dataDxfId="5"/>
    <tableColumn id="7" name="Discount" dataDxfId="6"/>
    <tableColumn id="8" name="Profit" dataDxfId="7"/>
    <tableColumn id="9" name="Payment Type" dataDxfId="8"/>
    <tableColumn id="10" name="Month" dataDxfId="9"/>
    <tableColumn id="11" name="Year" dataDxfId="10" totalsRowFunction="sum"/>
  </tableColumns>
  <tableStyleInfo name="TableStylePreset8_Accent4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workbookViewId="0">
      <selection activeCell="C32" sqref="C32"/>
    </sheetView>
  </sheetViews>
  <sheetFormatPr defaultColWidth="9" defaultRowHeight="14.4"/>
  <cols>
    <col min="2" max="2" width="16.3333333333333" customWidth="1"/>
    <col min="3" max="3" width="17.8888888888889" customWidth="1"/>
    <col min="5" max="5" width="12.8888888888889" customWidth="1"/>
    <col min="6" max="6" width="15.5555555555556" customWidth="1"/>
    <col min="7" max="7" width="12.4444444444444" customWidth="1"/>
    <col min="8" max="8" width="13.3333333333333" customWidth="1"/>
    <col min="9" max="9" width="25.5555555555556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</row>
    <row r="2" spans="1:11">
      <c r="A2" s="6">
        <v>1001</v>
      </c>
      <c r="B2" s="6" t="s">
        <v>11</v>
      </c>
      <c r="C2" s="6" t="s">
        <v>12</v>
      </c>
      <c r="D2" s="6">
        <v>5</v>
      </c>
      <c r="E2" s="6">
        <v>4107</v>
      </c>
      <c r="F2" s="6">
        <v>20535</v>
      </c>
      <c r="G2" s="6">
        <v>0.14</v>
      </c>
      <c r="H2" s="6">
        <v>1881.5</v>
      </c>
      <c r="I2" s="6" t="s">
        <v>13</v>
      </c>
      <c r="J2" s="6" t="s">
        <v>14</v>
      </c>
      <c r="K2" s="8">
        <v>2025</v>
      </c>
    </row>
    <row r="3" spans="1:11">
      <c r="A3" s="6">
        <v>1002</v>
      </c>
      <c r="B3" s="6" t="s">
        <v>15</v>
      </c>
      <c r="C3" s="6" t="s">
        <v>16</v>
      </c>
      <c r="D3" s="6">
        <v>3</v>
      </c>
      <c r="E3" s="6">
        <v>2092</v>
      </c>
      <c r="F3" s="6">
        <v>6276</v>
      </c>
      <c r="G3" s="6">
        <v>0.2</v>
      </c>
      <c r="H3" s="6">
        <v>461.75</v>
      </c>
      <c r="I3" s="6" t="s">
        <v>17</v>
      </c>
      <c r="J3" s="6" t="s">
        <v>18</v>
      </c>
      <c r="K3" s="8">
        <v>2024</v>
      </c>
    </row>
    <row r="4" spans="1:11">
      <c r="A4" s="6">
        <v>1003</v>
      </c>
      <c r="B4" s="6" t="s">
        <v>19</v>
      </c>
      <c r="C4" s="6" t="s">
        <v>20</v>
      </c>
      <c r="D4" s="6">
        <v>2</v>
      </c>
      <c r="E4" s="6">
        <v>766</v>
      </c>
      <c r="F4" s="6">
        <v>1532</v>
      </c>
      <c r="G4" s="6">
        <v>0.23</v>
      </c>
      <c r="H4" s="6">
        <v>104.18</v>
      </c>
      <c r="I4" s="6" t="s">
        <v>17</v>
      </c>
      <c r="J4" s="6" t="s">
        <v>21</v>
      </c>
      <c r="K4" s="8">
        <v>2025</v>
      </c>
    </row>
    <row r="5" spans="1:11">
      <c r="A5" s="6">
        <v>1004</v>
      </c>
      <c r="B5" s="6" t="s">
        <v>22</v>
      </c>
      <c r="C5" s="6" t="s">
        <v>23</v>
      </c>
      <c r="D5" s="6">
        <v>1</v>
      </c>
      <c r="E5" s="6">
        <v>1065</v>
      </c>
      <c r="F5" s="6">
        <v>1065</v>
      </c>
      <c r="G5" s="6">
        <v>0.14</v>
      </c>
      <c r="H5" s="6">
        <v>67.72</v>
      </c>
      <c r="I5" s="6" t="s">
        <v>24</v>
      </c>
      <c r="J5" s="6" t="s">
        <v>21</v>
      </c>
      <c r="K5" s="8">
        <v>2024</v>
      </c>
    </row>
    <row r="6" spans="1:11">
      <c r="A6" s="6">
        <v>1005</v>
      </c>
      <c r="B6" s="6" t="s">
        <v>25</v>
      </c>
      <c r="C6" s="6" t="s">
        <v>12</v>
      </c>
      <c r="D6" s="6">
        <v>2</v>
      </c>
      <c r="E6" s="6">
        <v>4332</v>
      </c>
      <c r="F6" s="6">
        <v>8664</v>
      </c>
      <c r="G6" s="6">
        <v>0.1</v>
      </c>
      <c r="H6" s="6">
        <v>773.15</v>
      </c>
      <c r="I6" s="6" t="s">
        <v>26</v>
      </c>
      <c r="J6" s="6" t="s">
        <v>27</v>
      </c>
      <c r="K6" s="8">
        <v>2025</v>
      </c>
    </row>
    <row r="7" spans="1:11">
      <c r="A7" s="6">
        <v>1006</v>
      </c>
      <c r="B7" s="6" t="s">
        <v>28</v>
      </c>
      <c r="C7" s="6" t="s">
        <v>23</v>
      </c>
      <c r="D7" s="6">
        <v>2</v>
      </c>
      <c r="E7" s="6">
        <v>4745</v>
      </c>
      <c r="F7" s="6">
        <v>9490</v>
      </c>
      <c r="G7" s="6">
        <v>0.23</v>
      </c>
      <c r="H7" s="6">
        <v>1404.01</v>
      </c>
      <c r="I7" s="6" t="s">
        <v>24</v>
      </c>
      <c r="J7" s="6" t="s">
        <v>29</v>
      </c>
      <c r="K7" s="8">
        <v>2025</v>
      </c>
    </row>
    <row r="8" spans="1:11">
      <c r="A8" s="6">
        <v>1007</v>
      </c>
      <c r="B8" s="6" t="s">
        <v>30</v>
      </c>
      <c r="C8" s="6" t="s">
        <v>16</v>
      </c>
      <c r="D8" s="6">
        <v>4</v>
      </c>
      <c r="E8" s="6">
        <v>2911</v>
      </c>
      <c r="F8" s="6">
        <v>11644</v>
      </c>
      <c r="G8" s="6">
        <v>0.11</v>
      </c>
      <c r="H8" s="6">
        <v>1625.67</v>
      </c>
      <c r="I8" s="6" t="s">
        <v>31</v>
      </c>
      <c r="J8" s="6" t="s">
        <v>32</v>
      </c>
      <c r="K8" s="8">
        <v>2024</v>
      </c>
    </row>
    <row r="9" spans="1:11">
      <c r="A9" s="6">
        <v>1008</v>
      </c>
      <c r="B9" s="6" t="s">
        <v>33</v>
      </c>
      <c r="C9" s="6" t="s">
        <v>16</v>
      </c>
      <c r="D9" s="6">
        <v>1</v>
      </c>
      <c r="E9" s="6">
        <v>2811</v>
      </c>
      <c r="F9" s="6">
        <v>2811</v>
      </c>
      <c r="G9" s="6">
        <v>0.3</v>
      </c>
      <c r="H9" s="6">
        <v>277.84</v>
      </c>
      <c r="I9" s="6" t="s">
        <v>26</v>
      </c>
      <c r="J9" s="6" t="s">
        <v>18</v>
      </c>
      <c r="K9" s="8">
        <v>2025</v>
      </c>
    </row>
    <row r="10" spans="1:13">
      <c r="A10" s="6">
        <v>1009</v>
      </c>
      <c r="B10" s="6" t="s">
        <v>34</v>
      </c>
      <c r="C10" s="6" t="s">
        <v>23</v>
      </c>
      <c r="D10" s="6">
        <v>3</v>
      </c>
      <c r="E10" s="6">
        <v>1412</v>
      </c>
      <c r="F10" s="6">
        <v>4236</v>
      </c>
      <c r="G10" s="6">
        <v>0.24</v>
      </c>
      <c r="H10" s="6">
        <v>414.81</v>
      </c>
      <c r="I10" s="6" t="s">
        <v>13</v>
      </c>
      <c r="J10" s="6" t="s">
        <v>35</v>
      </c>
      <c r="K10" s="8">
        <v>2025</v>
      </c>
      <c r="M10">
        <v>1012</v>
      </c>
    </row>
    <row r="11" spans="1:13">
      <c r="A11" s="6">
        <v>1010</v>
      </c>
      <c r="B11" s="6" t="s">
        <v>22</v>
      </c>
      <c r="C11" s="6" t="s">
        <v>23</v>
      </c>
      <c r="D11" s="6">
        <v>3</v>
      </c>
      <c r="E11" s="6">
        <v>1784</v>
      </c>
      <c r="F11" s="6">
        <v>5352</v>
      </c>
      <c r="G11" s="6">
        <v>0.11</v>
      </c>
      <c r="H11" s="6">
        <v>517.54</v>
      </c>
      <c r="I11" s="6" t="s">
        <v>24</v>
      </c>
      <c r="J11" s="6" t="s">
        <v>36</v>
      </c>
      <c r="K11" s="8">
        <v>2024</v>
      </c>
      <c r="M11">
        <f>VLOOKUP(M10,Table1[#All],8,FALSE)</f>
        <v>1910.69</v>
      </c>
    </row>
    <row r="12" spans="1:11">
      <c r="A12" s="6">
        <v>1011</v>
      </c>
      <c r="B12" s="6" t="s">
        <v>37</v>
      </c>
      <c r="C12" s="6" t="s">
        <v>23</v>
      </c>
      <c r="D12" s="6">
        <v>2</v>
      </c>
      <c r="E12" s="6">
        <v>3843</v>
      </c>
      <c r="F12" s="6">
        <v>7686</v>
      </c>
      <c r="G12" s="6">
        <v>0.14</v>
      </c>
      <c r="H12" s="6">
        <v>1918.78</v>
      </c>
      <c r="I12" s="6" t="s">
        <v>17</v>
      </c>
      <c r="J12" s="6" t="s">
        <v>35</v>
      </c>
      <c r="K12" s="8">
        <v>2024</v>
      </c>
    </row>
    <row r="13" spans="1:11">
      <c r="A13" s="6">
        <v>1012</v>
      </c>
      <c r="B13" s="6" t="s">
        <v>34</v>
      </c>
      <c r="C13" s="6" t="s">
        <v>23</v>
      </c>
      <c r="D13" s="6">
        <v>4</v>
      </c>
      <c r="E13" s="6">
        <v>4417</v>
      </c>
      <c r="F13" s="6">
        <v>17668</v>
      </c>
      <c r="G13" s="6">
        <v>0.12</v>
      </c>
      <c r="H13" s="6">
        <v>1910.69</v>
      </c>
      <c r="I13" s="6" t="s">
        <v>17</v>
      </c>
      <c r="J13" s="6" t="s">
        <v>38</v>
      </c>
      <c r="K13" s="8">
        <v>2024</v>
      </c>
    </row>
    <row r="14" spans="1:13">
      <c r="A14" s="6">
        <v>1013</v>
      </c>
      <c r="B14" s="6" t="s">
        <v>39</v>
      </c>
      <c r="C14" s="6" t="s">
        <v>16</v>
      </c>
      <c r="D14" s="6">
        <v>2</v>
      </c>
      <c r="E14" s="6">
        <v>3362</v>
      </c>
      <c r="F14" s="6">
        <v>6724</v>
      </c>
      <c r="G14" s="6">
        <v>0.09</v>
      </c>
      <c r="H14" s="6">
        <v>508.71</v>
      </c>
      <c r="I14" s="6" t="s">
        <v>31</v>
      </c>
      <c r="J14" s="6" t="s">
        <v>36</v>
      </c>
      <c r="K14" s="8">
        <v>2025</v>
      </c>
      <c r="M14" t="s">
        <v>4</v>
      </c>
    </row>
    <row r="15" spans="1:13">
      <c r="A15" s="6">
        <v>1014</v>
      </c>
      <c r="B15" s="6" t="s">
        <v>40</v>
      </c>
      <c r="C15" s="6" t="s">
        <v>16</v>
      </c>
      <c r="D15" s="6">
        <v>2</v>
      </c>
      <c r="E15" s="6">
        <v>3416</v>
      </c>
      <c r="F15" s="6">
        <v>6832</v>
      </c>
      <c r="G15" s="6">
        <v>0.28</v>
      </c>
      <c r="H15" s="6">
        <v>1758.43</v>
      </c>
      <c r="I15" s="6" t="s">
        <v>17</v>
      </c>
      <c r="J15" s="6" t="s">
        <v>35</v>
      </c>
      <c r="K15" s="8">
        <v>2024</v>
      </c>
      <c r="M15">
        <f>HLOOKUP(M14,Table1[#All],5,FALSE)</f>
        <v>1065</v>
      </c>
    </row>
    <row r="16" spans="1:11">
      <c r="A16" s="6">
        <v>1015</v>
      </c>
      <c r="B16" s="6" t="s">
        <v>41</v>
      </c>
      <c r="C16" s="6" t="s">
        <v>42</v>
      </c>
      <c r="D16" s="6">
        <v>5</v>
      </c>
      <c r="E16" s="6">
        <v>4015</v>
      </c>
      <c r="F16" s="6">
        <v>20075</v>
      </c>
      <c r="G16" s="6">
        <v>0.29</v>
      </c>
      <c r="H16" s="6">
        <v>3604.19</v>
      </c>
      <c r="I16" s="6" t="s">
        <v>31</v>
      </c>
      <c r="J16" s="6" t="s">
        <v>29</v>
      </c>
      <c r="K16" s="8">
        <v>2024</v>
      </c>
    </row>
    <row r="17" spans="1:11">
      <c r="A17" s="6">
        <v>1016</v>
      </c>
      <c r="B17" s="6" t="s">
        <v>43</v>
      </c>
      <c r="C17" s="6" t="s">
        <v>20</v>
      </c>
      <c r="D17" s="6">
        <v>4</v>
      </c>
      <c r="E17" s="6">
        <v>4045</v>
      </c>
      <c r="F17" s="6">
        <v>16180</v>
      </c>
      <c r="G17" s="6">
        <v>0.29</v>
      </c>
      <c r="H17" s="6">
        <v>4823.34</v>
      </c>
      <c r="I17" s="6" t="s">
        <v>24</v>
      </c>
      <c r="J17" s="6" t="s">
        <v>27</v>
      </c>
      <c r="K17" s="8">
        <v>2024</v>
      </c>
    </row>
    <row r="18" spans="1:13">
      <c r="A18" s="6">
        <v>1017</v>
      </c>
      <c r="B18" s="6" t="s">
        <v>37</v>
      </c>
      <c r="C18" s="6" t="s">
        <v>23</v>
      </c>
      <c r="D18" s="6">
        <v>3</v>
      </c>
      <c r="E18" s="6">
        <v>3734</v>
      </c>
      <c r="F18" s="6">
        <v>11202</v>
      </c>
      <c r="G18" s="6">
        <v>0.23</v>
      </c>
      <c r="H18" s="6">
        <v>2732.73</v>
      </c>
      <c r="I18" s="6" t="s">
        <v>24</v>
      </c>
      <c r="J18" s="6" t="s">
        <v>44</v>
      </c>
      <c r="K18" s="8">
        <v>2025</v>
      </c>
      <c r="M18">
        <f>SUMIF(Table1[Quantity],"&gt;4")</f>
        <v>90</v>
      </c>
    </row>
    <row r="19" spans="1:11">
      <c r="A19" s="6">
        <v>1018</v>
      </c>
      <c r="B19" s="6" t="s">
        <v>31</v>
      </c>
      <c r="C19" s="6" t="s">
        <v>23</v>
      </c>
      <c r="D19" s="6">
        <v>3</v>
      </c>
      <c r="E19" s="6">
        <v>3042</v>
      </c>
      <c r="F19" s="6">
        <v>9126</v>
      </c>
      <c r="G19" s="6">
        <v>0.14</v>
      </c>
      <c r="H19" s="6">
        <v>1046.68</v>
      </c>
      <c r="I19" s="6" t="s">
        <v>13</v>
      </c>
      <c r="J19" s="6" t="s">
        <v>44</v>
      </c>
      <c r="K19" s="8">
        <v>2025</v>
      </c>
    </row>
    <row r="20" spans="1:11">
      <c r="A20" s="6">
        <v>1019</v>
      </c>
      <c r="B20" s="6" t="s">
        <v>28</v>
      </c>
      <c r="C20" s="6" t="s">
        <v>23</v>
      </c>
      <c r="D20" s="6">
        <v>5</v>
      </c>
      <c r="E20" s="6">
        <v>2242</v>
      </c>
      <c r="F20" s="6">
        <v>11210</v>
      </c>
      <c r="G20" s="6">
        <v>0.05</v>
      </c>
      <c r="H20" s="6">
        <v>3021.76</v>
      </c>
      <c r="I20" s="6" t="s">
        <v>24</v>
      </c>
      <c r="J20" s="6" t="s">
        <v>45</v>
      </c>
      <c r="K20" s="8">
        <v>2024</v>
      </c>
    </row>
    <row r="21" spans="1:13">
      <c r="A21" s="6">
        <v>1020</v>
      </c>
      <c r="B21" s="6" t="s">
        <v>46</v>
      </c>
      <c r="C21" s="6" t="s">
        <v>12</v>
      </c>
      <c r="D21" s="6">
        <v>4</v>
      </c>
      <c r="E21" s="6">
        <v>3198</v>
      </c>
      <c r="F21" s="6">
        <v>12792</v>
      </c>
      <c r="G21" s="6">
        <v>0.08</v>
      </c>
      <c r="H21" s="6">
        <v>3012.53</v>
      </c>
      <c r="I21" s="6" t="s">
        <v>26</v>
      </c>
      <c r="J21" s="6" t="s">
        <v>47</v>
      </c>
      <c r="K21" s="8">
        <v>2024</v>
      </c>
      <c r="M21">
        <f>COUNTIF(D2:D27,"&gt;2")</f>
        <v>16</v>
      </c>
    </row>
    <row r="22" spans="1:11">
      <c r="A22" s="6">
        <v>1021</v>
      </c>
      <c r="B22" s="6" t="s">
        <v>48</v>
      </c>
      <c r="C22" s="6" t="s">
        <v>12</v>
      </c>
      <c r="D22" s="6">
        <v>5</v>
      </c>
      <c r="E22" s="6">
        <v>1480</v>
      </c>
      <c r="F22" s="6">
        <v>7400</v>
      </c>
      <c r="G22" s="6">
        <v>0.28</v>
      </c>
      <c r="H22" s="6">
        <v>875.94</v>
      </c>
      <c r="I22" s="6" t="s">
        <v>31</v>
      </c>
      <c r="J22" s="6" t="s">
        <v>27</v>
      </c>
      <c r="K22" s="8">
        <v>2025</v>
      </c>
    </row>
    <row r="23" spans="1:11">
      <c r="A23" s="6">
        <v>1022</v>
      </c>
      <c r="B23" s="6" t="s">
        <v>41</v>
      </c>
      <c r="C23" s="6" t="s">
        <v>42</v>
      </c>
      <c r="D23" s="6">
        <v>2</v>
      </c>
      <c r="E23" s="6">
        <v>1184</v>
      </c>
      <c r="F23" s="6">
        <v>2368</v>
      </c>
      <c r="G23" s="6">
        <v>0.25</v>
      </c>
      <c r="H23" s="6">
        <v>151.14</v>
      </c>
      <c r="I23" s="6" t="s">
        <v>24</v>
      </c>
      <c r="J23" s="6" t="s">
        <v>29</v>
      </c>
      <c r="K23" s="8">
        <v>2025</v>
      </c>
    </row>
    <row r="24" spans="1:11">
      <c r="A24" s="6">
        <v>1023</v>
      </c>
      <c r="B24" s="6" t="s">
        <v>49</v>
      </c>
      <c r="C24" s="6" t="s">
        <v>20</v>
      </c>
      <c r="D24" s="6">
        <v>2</v>
      </c>
      <c r="E24" s="6">
        <v>3533</v>
      </c>
      <c r="F24" s="6">
        <v>7066</v>
      </c>
      <c r="G24" s="6">
        <v>0.22</v>
      </c>
      <c r="H24" s="6">
        <v>2066.31</v>
      </c>
      <c r="I24" s="6" t="s">
        <v>24</v>
      </c>
      <c r="J24" s="6" t="s">
        <v>29</v>
      </c>
      <c r="K24" s="8">
        <v>2025</v>
      </c>
    </row>
    <row r="25" spans="1:11">
      <c r="A25" s="6">
        <v>1024</v>
      </c>
      <c r="B25" s="6" t="s">
        <v>50</v>
      </c>
      <c r="C25" s="6" t="s">
        <v>23</v>
      </c>
      <c r="D25" s="6">
        <v>5</v>
      </c>
      <c r="E25" s="6">
        <v>4422</v>
      </c>
      <c r="F25" s="6">
        <v>22110</v>
      </c>
      <c r="G25" s="6">
        <v>0.28</v>
      </c>
      <c r="H25" s="6">
        <v>5481.18</v>
      </c>
      <c r="I25" s="6" t="s">
        <v>24</v>
      </c>
      <c r="J25" s="6" t="s">
        <v>44</v>
      </c>
      <c r="K25" s="8">
        <v>2025</v>
      </c>
    </row>
    <row r="26" spans="1:11">
      <c r="A26" s="6">
        <v>1025</v>
      </c>
      <c r="B26" s="6" t="s">
        <v>51</v>
      </c>
      <c r="C26" s="6" t="s">
        <v>20</v>
      </c>
      <c r="D26" s="6">
        <v>3</v>
      </c>
      <c r="E26" s="6">
        <v>1777</v>
      </c>
      <c r="F26" s="6">
        <v>5331</v>
      </c>
      <c r="G26" s="6">
        <v>0.1</v>
      </c>
      <c r="H26" s="6">
        <v>300.4</v>
      </c>
      <c r="I26" s="6" t="s">
        <v>24</v>
      </c>
      <c r="J26" s="6" t="s">
        <v>36</v>
      </c>
      <c r="K26" s="8">
        <v>2025</v>
      </c>
    </row>
    <row r="27" spans="1:11">
      <c r="A27" s="6">
        <v>1026</v>
      </c>
      <c r="B27" s="6" t="s">
        <v>11</v>
      </c>
      <c r="C27" s="6" t="s">
        <v>12</v>
      </c>
      <c r="D27" s="6">
        <v>3</v>
      </c>
      <c r="E27" s="6">
        <v>3813</v>
      </c>
      <c r="F27" s="6">
        <v>11439</v>
      </c>
      <c r="G27" s="6">
        <v>0.15</v>
      </c>
      <c r="H27" s="6">
        <v>2384.7</v>
      </c>
      <c r="I27" s="6" t="s">
        <v>31</v>
      </c>
      <c r="J27" s="6" t="s">
        <v>14</v>
      </c>
      <c r="K27" s="8">
        <v>2025</v>
      </c>
    </row>
    <row r="28" spans="1:11">
      <c r="A28" s="6">
        <v>1027</v>
      </c>
      <c r="B28" s="6" t="s">
        <v>37</v>
      </c>
      <c r="C28" s="6" t="s">
        <v>23</v>
      </c>
      <c r="D28" s="6">
        <v>4</v>
      </c>
      <c r="E28" s="6">
        <v>2231</v>
      </c>
      <c r="F28" s="6">
        <v>8924</v>
      </c>
      <c r="G28" s="6">
        <v>0.22</v>
      </c>
      <c r="H28" s="6">
        <v>680.59</v>
      </c>
      <c r="I28" s="6" t="s">
        <v>26</v>
      </c>
      <c r="J28" s="6" t="s">
        <v>45</v>
      </c>
      <c r="K28" s="8">
        <v>2024</v>
      </c>
    </row>
    <row r="29" spans="1:11">
      <c r="A29" s="6">
        <v>1028</v>
      </c>
      <c r="B29" s="6" t="s">
        <v>52</v>
      </c>
      <c r="C29" s="6" t="s">
        <v>12</v>
      </c>
      <c r="D29" s="6">
        <v>1</v>
      </c>
      <c r="E29" s="6">
        <v>4593</v>
      </c>
      <c r="F29" s="6">
        <v>4593</v>
      </c>
      <c r="G29" s="6">
        <v>0.2</v>
      </c>
      <c r="H29" s="6">
        <v>625.72</v>
      </c>
      <c r="I29" s="6" t="s">
        <v>31</v>
      </c>
      <c r="J29" s="6" t="s">
        <v>29</v>
      </c>
      <c r="K29" s="8">
        <v>2024</v>
      </c>
    </row>
    <row r="30" spans="1:11">
      <c r="A30" s="6">
        <v>1029</v>
      </c>
      <c r="B30" s="6" t="s">
        <v>53</v>
      </c>
      <c r="C30" s="6" t="s">
        <v>20</v>
      </c>
      <c r="D30" s="6">
        <v>1</v>
      </c>
      <c r="E30" s="6">
        <v>3381</v>
      </c>
      <c r="F30" s="6">
        <v>3381</v>
      </c>
      <c r="G30" s="6">
        <v>0.29</v>
      </c>
      <c r="H30" s="6">
        <v>840.58</v>
      </c>
      <c r="I30" s="6" t="s">
        <v>26</v>
      </c>
      <c r="J30" s="6" t="s">
        <v>29</v>
      </c>
      <c r="K30" s="8">
        <v>2025</v>
      </c>
    </row>
    <row r="31" spans="1:11">
      <c r="A31" s="6">
        <v>1030</v>
      </c>
      <c r="B31" s="6" t="s">
        <v>52</v>
      </c>
      <c r="C31" s="6" t="s">
        <v>12</v>
      </c>
      <c r="D31" s="6">
        <v>3</v>
      </c>
      <c r="E31" s="6">
        <v>3296</v>
      </c>
      <c r="F31" s="6">
        <v>9888</v>
      </c>
      <c r="G31" s="6">
        <v>0.18</v>
      </c>
      <c r="H31" s="6">
        <v>2748.21</v>
      </c>
      <c r="I31" s="6" t="s">
        <v>26</v>
      </c>
      <c r="J31" s="6" t="s">
        <v>27</v>
      </c>
      <c r="K31" s="8">
        <v>2025</v>
      </c>
    </row>
    <row r="32" spans="1:11">
      <c r="A32" s="6">
        <v>1031</v>
      </c>
      <c r="B32" s="6" t="s">
        <v>54</v>
      </c>
      <c r="C32" s="6" t="s">
        <v>12</v>
      </c>
      <c r="D32" s="6">
        <v>1</v>
      </c>
      <c r="E32" s="6">
        <v>2605</v>
      </c>
      <c r="F32" s="6">
        <v>2605</v>
      </c>
      <c r="G32" s="6">
        <v>0.05</v>
      </c>
      <c r="H32" s="6">
        <v>515.86</v>
      </c>
      <c r="I32" s="6" t="s">
        <v>31</v>
      </c>
      <c r="J32" s="6" t="s">
        <v>18</v>
      </c>
      <c r="K32" s="8">
        <v>2025</v>
      </c>
    </row>
    <row r="33" spans="1:11">
      <c r="A33" s="6">
        <v>1032</v>
      </c>
      <c r="B33" s="6" t="s">
        <v>41</v>
      </c>
      <c r="C33" s="6" t="s">
        <v>42</v>
      </c>
      <c r="D33" s="6">
        <v>3</v>
      </c>
      <c r="E33" s="6">
        <v>1462</v>
      </c>
      <c r="F33" s="6">
        <v>4386</v>
      </c>
      <c r="G33" s="6">
        <v>0.13</v>
      </c>
      <c r="H33" s="6">
        <v>798.27</v>
      </c>
      <c r="I33" s="6" t="s">
        <v>17</v>
      </c>
      <c r="J33" s="6" t="s">
        <v>35</v>
      </c>
      <c r="K33" s="8">
        <v>2024</v>
      </c>
    </row>
    <row r="34" spans="1:11">
      <c r="A34" s="6">
        <v>1033</v>
      </c>
      <c r="B34" s="6" t="s">
        <v>46</v>
      </c>
      <c r="C34" s="6" t="s">
        <v>12</v>
      </c>
      <c r="D34" s="6">
        <v>2</v>
      </c>
      <c r="E34" s="6">
        <v>2540</v>
      </c>
      <c r="F34" s="6">
        <v>5080</v>
      </c>
      <c r="G34" s="6">
        <v>0.07</v>
      </c>
      <c r="H34" s="6">
        <v>1130.01</v>
      </c>
      <c r="I34" s="6" t="s">
        <v>13</v>
      </c>
      <c r="J34" s="6" t="s">
        <v>47</v>
      </c>
      <c r="K34" s="8">
        <v>2025</v>
      </c>
    </row>
    <row r="35" spans="1:11">
      <c r="A35" s="6">
        <v>1034</v>
      </c>
      <c r="B35" s="6" t="s">
        <v>43</v>
      </c>
      <c r="C35" s="6" t="s">
        <v>20</v>
      </c>
      <c r="D35" s="6">
        <v>4</v>
      </c>
      <c r="E35" s="6">
        <v>3377</v>
      </c>
      <c r="F35" s="6">
        <v>13508</v>
      </c>
      <c r="G35" s="6">
        <v>0.15</v>
      </c>
      <c r="H35" s="6">
        <v>2867.73</v>
      </c>
      <c r="I35" s="6" t="s">
        <v>31</v>
      </c>
      <c r="J35" s="6" t="s">
        <v>14</v>
      </c>
      <c r="K35" s="8">
        <v>2025</v>
      </c>
    </row>
    <row r="36" spans="1:11">
      <c r="A36" s="6">
        <v>1035</v>
      </c>
      <c r="B36" s="6" t="s">
        <v>41</v>
      </c>
      <c r="C36" s="6" t="s">
        <v>42</v>
      </c>
      <c r="D36" s="6">
        <v>2</v>
      </c>
      <c r="E36" s="6">
        <v>1933</v>
      </c>
      <c r="F36" s="6">
        <v>3866</v>
      </c>
      <c r="G36" s="6">
        <v>0.13</v>
      </c>
      <c r="H36" s="6">
        <v>734.49</v>
      </c>
      <c r="I36" s="6" t="s">
        <v>24</v>
      </c>
      <c r="J36" s="6" t="s">
        <v>38</v>
      </c>
      <c r="K36" s="8">
        <v>2024</v>
      </c>
    </row>
    <row r="37" spans="1:11">
      <c r="A37" s="6">
        <v>1036</v>
      </c>
      <c r="B37" s="6" t="s">
        <v>41</v>
      </c>
      <c r="C37" s="6" t="s">
        <v>42</v>
      </c>
      <c r="D37" s="6">
        <v>2</v>
      </c>
      <c r="E37" s="6">
        <v>4741</v>
      </c>
      <c r="F37" s="6">
        <v>9482</v>
      </c>
      <c r="G37" s="6">
        <v>0.24</v>
      </c>
      <c r="H37" s="6">
        <v>2586.98</v>
      </c>
      <c r="I37" s="6" t="s">
        <v>17</v>
      </c>
      <c r="J37" s="6" t="s">
        <v>27</v>
      </c>
      <c r="K37" s="8">
        <v>2024</v>
      </c>
    </row>
    <row r="38" spans="1:11">
      <c r="A38" s="6">
        <v>1037</v>
      </c>
      <c r="B38" s="6" t="s">
        <v>43</v>
      </c>
      <c r="C38" s="6" t="s">
        <v>20</v>
      </c>
      <c r="D38" s="6">
        <v>4</v>
      </c>
      <c r="E38" s="6">
        <v>3580</v>
      </c>
      <c r="F38" s="6">
        <v>14320</v>
      </c>
      <c r="G38" s="6">
        <v>0.07</v>
      </c>
      <c r="H38" s="6">
        <v>3851.78</v>
      </c>
      <c r="I38" s="6" t="s">
        <v>13</v>
      </c>
      <c r="J38" s="6" t="s">
        <v>45</v>
      </c>
      <c r="K38" s="8">
        <v>2024</v>
      </c>
    </row>
    <row r="39" spans="1:11">
      <c r="A39" s="6">
        <v>1038</v>
      </c>
      <c r="B39" s="6" t="s">
        <v>37</v>
      </c>
      <c r="C39" s="6" t="s">
        <v>23</v>
      </c>
      <c r="D39" s="6">
        <v>1</v>
      </c>
      <c r="E39" s="6">
        <v>961</v>
      </c>
      <c r="F39" s="6">
        <v>961</v>
      </c>
      <c r="G39" s="6">
        <v>0.07</v>
      </c>
      <c r="H39" s="6">
        <v>253.92</v>
      </c>
      <c r="I39" s="6" t="s">
        <v>17</v>
      </c>
      <c r="J39" s="6" t="s">
        <v>27</v>
      </c>
      <c r="K39" s="8">
        <v>2025</v>
      </c>
    </row>
    <row r="40" spans="1:11">
      <c r="A40" s="6">
        <v>1039</v>
      </c>
      <c r="B40" s="6" t="s">
        <v>54</v>
      </c>
      <c r="C40" s="6" t="s">
        <v>12</v>
      </c>
      <c r="D40" s="6">
        <v>2</v>
      </c>
      <c r="E40" s="6">
        <v>2532</v>
      </c>
      <c r="F40" s="6">
        <v>5064</v>
      </c>
      <c r="G40" s="6">
        <v>0.28</v>
      </c>
      <c r="H40" s="6">
        <v>913.57</v>
      </c>
      <c r="I40" s="6" t="s">
        <v>24</v>
      </c>
      <c r="J40" s="6" t="s">
        <v>35</v>
      </c>
      <c r="K40" s="8">
        <v>2024</v>
      </c>
    </row>
    <row r="41" spans="1:11">
      <c r="A41" s="6">
        <v>1040</v>
      </c>
      <c r="B41" s="6" t="s">
        <v>55</v>
      </c>
      <c r="C41" s="6" t="s">
        <v>20</v>
      </c>
      <c r="D41" s="6">
        <v>2</v>
      </c>
      <c r="E41" s="6">
        <v>2659</v>
      </c>
      <c r="F41" s="6">
        <v>5318</v>
      </c>
      <c r="G41" s="6">
        <v>0.12</v>
      </c>
      <c r="H41" s="6">
        <v>1287.99</v>
      </c>
      <c r="I41" s="6" t="s">
        <v>13</v>
      </c>
      <c r="J41" s="6" t="s">
        <v>21</v>
      </c>
      <c r="K41" s="8">
        <v>2024</v>
      </c>
    </row>
    <row r="42" spans="1:11">
      <c r="A42" s="6">
        <v>1041</v>
      </c>
      <c r="B42" s="6" t="s">
        <v>41</v>
      </c>
      <c r="C42" s="6" t="s">
        <v>42</v>
      </c>
      <c r="D42" s="6">
        <v>4</v>
      </c>
      <c r="E42" s="6">
        <v>1781</v>
      </c>
      <c r="F42" s="6">
        <v>7124</v>
      </c>
      <c r="G42" s="6">
        <v>0.23</v>
      </c>
      <c r="H42" s="6">
        <v>832.5</v>
      </c>
      <c r="I42" s="6" t="s">
        <v>24</v>
      </c>
      <c r="J42" s="6" t="s">
        <v>38</v>
      </c>
      <c r="K42" s="8">
        <v>2025</v>
      </c>
    </row>
    <row r="43" spans="1:11">
      <c r="A43" s="6">
        <v>1042</v>
      </c>
      <c r="B43" s="6" t="s">
        <v>56</v>
      </c>
      <c r="C43" s="6" t="s">
        <v>16</v>
      </c>
      <c r="D43" s="6">
        <v>1</v>
      </c>
      <c r="E43" s="6">
        <v>4618</v>
      </c>
      <c r="F43" s="6">
        <v>4618</v>
      </c>
      <c r="G43" s="6">
        <v>0.12</v>
      </c>
      <c r="H43" s="6">
        <v>1114.63</v>
      </c>
      <c r="I43" s="6" t="s">
        <v>24</v>
      </c>
      <c r="J43" s="6" t="s">
        <v>32</v>
      </c>
      <c r="K43" s="8">
        <v>2025</v>
      </c>
    </row>
    <row r="44" spans="1:11">
      <c r="A44" s="6">
        <v>1043</v>
      </c>
      <c r="B44" s="6" t="s">
        <v>37</v>
      </c>
      <c r="C44" s="6" t="s">
        <v>23</v>
      </c>
      <c r="D44" s="6">
        <v>3</v>
      </c>
      <c r="E44" s="6">
        <v>4738</v>
      </c>
      <c r="F44" s="6">
        <v>14214</v>
      </c>
      <c r="G44" s="6">
        <v>0.3</v>
      </c>
      <c r="H44" s="6">
        <v>3051</v>
      </c>
      <c r="I44" s="6" t="s">
        <v>24</v>
      </c>
      <c r="J44" s="6" t="s">
        <v>27</v>
      </c>
      <c r="K44" s="8">
        <v>2025</v>
      </c>
    </row>
    <row r="45" spans="1:11">
      <c r="A45" s="6">
        <v>1044</v>
      </c>
      <c r="B45" s="6" t="s">
        <v>57</v>
      </c>
      <c r="C45" s="6" t="s">
        <v>16</v>
      </c>
      <c r="D45" s="6">
        <v>1</v>
      </c>
      <c r="E45" s="6">
        <v>3007</v>
      </c>
      <c r="F45" s="6">
        <v>3007</v>
      </c>
      <c r="G45" s="6">
        <v>0.14</v>
      </c>
      <c r="H45" s="6">
        <v>712.22</v>
      </c>
      <c r="I45" s="6" t="s">
        <v>26</v>
      </c>
      <c r="J45" s="6" t="s">
        <v>18</v>
      </c>
      <c r="K45" s="8">
        <v>2025</v>
      </c>
    </row>
    <row r="46" spans="1:11">
      <c r="A46" s="6">
        <v>1045</v>
      </c>
      <c r="B46" s="6" t="s">
        <v>50</v>
      </c>
      <c r="C46" s="6" t="s">
        <v>23</v>
      </c>
      <c r="D46" s="6">
        <v>3</v>
      </c>
      <c r="E46" s="6">
        <v>3926</v>
      </c>
      <c r="F46" s="6">
        <v>11778</v>
      </c>
      <c r="G46" s="6">
        <v>0.08</v>
      </c>
      <c r="H46" s="6">
        <v>2201.3</v>
      </c>
      <c r="I46" s="6" t="s">
        <v>26</v>
      </c>
      <c r="J46" s="6" t="s">
        <v>27</v>
      </c>
      <c r="K46" s="8">
        <v>2025</v>
      </c>
    </row>
    <row r="47" spans="1:11">
      <c r="A47" s="6">
        <v>1046</v>
      </c>
      <c r="B47" s="6" t="s">
        <v>48</v>
      </c>
      <c r="C47" s="6" t="s">
        <v>12</v>
      </c>
      <c r="D47" s="6">
        <v>5</v>
      </c>
      <c r="E47" s="6">
        <v>4581</v>
      </c>
      <c r="F47" s="6">
        <v>22905</v>
      </c>
      <c r="G47" s="6">
        <v>0.08</v>
      </c>
      <c r="H47" s="6">
        <v>5492.81</v>
      </c>
      <c r="I47" s="6" t="s">
        <v>24</v>
      </c>
      <c r="J47" s="6" t="s">
        <v>14</v>
      </c>
      <c r="K47" s="8">
        <v>2025</v>
      </c>
    </row>
    <row r="48" spans="1:11">
      <c r="A48" s="6">
        <v>1047</v>
      </c>
      <c r="B48" s="6" t="s">
        <v>22</v>
      </c>
      <c r="C48" s="6" t="s">
        <v>23</v>
      </c>
      <c r="D48" s="6">
        <v>4</v>
      </c>
      <c r="E48" s="6">
        <v>2819</v>
      </c>
      <c r="F48" s="6">
        <v>11276</v>
      </c>
      <c r="G48" s="6">
        <v>0.21</v>
      </c>
      <c r="H48" s="6">
        <v>1159.82</v>
      </c>
      <c r="I48" s="6" t="s">
        <v>31</v>
      </c>
      <c r="J48" s="6" t="s">
        <v>47</v>
      </c>
      <c r="K48" s="8">
        <v>2024</v>
      </c>
    </row>
    <row r="49" spans="1:11">
      <c r="A49" s="6">
        <v>1048</v>
      </c>
      <c r="B49" s="6" t="s">
        <v>53</v>
      </c>
      <c r="C49" s="6" t="s">
        <v>20</v>
      </c>
      <c r="D49" s="6">
        <v>5</v>
      </c>
      <c r="E49" s="6">
        <v>652</v>
      </c>
      <c r="F49" s="6">
        <v>3260</v>
      </c>
      <c r="G49" s="6">
        <v>0.12</v>
      </c>
      <c r="H49" s="6">
        <v>198.75</v>
      </c>
      <c r="I49" s="6" t="s">
        <v>13</v>
      </c>
      <c r="J49" s="6" t="s">
        <v>32</v>
      </c>
      <c r="K49" s="8">
        <v>2024</v>
      </c>
    </row>
    <row r="50" spans="1:11">
      <c r="A50" s="6">
        <v>1049</v>
      </c>
      <c r="B50" s="6" t="s">
        <v>46</v>
      </c>
      <c r="C50" s="6" t="s">
        <v>12</v>
      </c>
      <c r="D50" s="6">
        <v>5</v>
      </c>
      <c r="E50" s="6">
        <v>3984</v>
      </c>
      <c r="F50" s="6">
        <v>19920</v>
      </c>
      <c r="G50" s="6">
        <v>0.05</v>
      </c>
      <c r="H50" s="6">
        <v>4023.27</v>
      </c>
      <c r="I50" s="6" t="s">
        <v>13</v>
      </c>
      <c r="J50" s="6" t="s">
        <v>44</v>
      </c>
      <c r="K50" s="8">
        <v>2025</v>
      </c>
    </row>
    <row r="51" spans="1:11">
      <c r="A51" s="6">
        <v>1050</v>
      </c>
      <c r="B51" s="6" t="s">
        <v>11</v>
      </c>
      <c r="C51" s="6" t="s">
        <v>12</v>
      </c>
      <c r="D51" s="6">
        <v>2</v>
      </c>
      <c r="E51" s="6">
        <v>2791</v>
      </c>
      <c r="F51" s="6">
        <v>5582</v>
      </c>
      <c r="G51" s="6">
        <v>0.24</v>
      </c>
      <c r="H51" s="6">
        <v>1364.06</v>
      </c>
      <c r="I51" s="6" t="s">
        <v>24</v>
      </c>
      <c r="J51" s="6" t="s">
        <v>45</v>
      </c>
      <c r="K51" s="8">
        <v>2025</v>
      </c>
    </row>
    <row r="52" spans="1:11">
      <c r="A52" s="6">
        <v>1051</v>
      </c>
      <c r="B52" s="6" t="s">
        <v>58</v>
      </c>
      <c r="C52" s="6" t="s">
        <v>23</v>
      </c>
      <c r="D52" s="6">
        <v>3</v>
      </c>
      <c r="E52" s="6">
        <v>1954</v>
      </c>
      <c r="F52" s="6">
        <v>5862</v>
      </c>
      <c r="G52" s="6">
        <v>0.13</v>
      </c>
      <c r="H52" s="6">
        <v>777.3</v>
      </c>
      <c r="I52" s="6" t="s">
        <v>24</v>
      </c>
      <c r="J52" s="6" t="s">
        <v>47</v>
      </c>
      <c r="K52" s="8">
        <v>2024</v>
      </c>
    </row>
    <row r="53" spans="1:11">
      <c r="A53" s="6">
        <v>1052</v>
      </c>
      <c r="B53" s="6" t="s">
        <v>41</v>
      </c>
      <c r="C53" s="6" t="s">
        <v>42</v>
      </c>
      <c r="D53" s="6">
        <v>1</v>
      </c>
      <c r="E53" s="6">
        <v>4150</v>
      </c>
      <c r="F53" s="6">
        <v>4150</v>
      </c>
      <c r="G53" s="6">
        <v>0.18</v>
      </c>
      <c r="H53" s="6">
        <v>852.07</v>
      </c>
      <c r="I53" s="6" t="s">
        <v>24</v>
      </c>
      <c r="J53" s="6" t="s">
        <v>14</v>
      </c>
      <c r="K53" s="8">
        <v>2024</v>
      </c>
    </row>
    <row r="54" spans="1:11">
      <c r="A54" s="6">
        <v>1053</v>
      </c>
      <c r="B54" s="6" t="s">
        <v>25</v>
      </c>
      <c r="C54" s="6" t="s">
        <v>12</v>
      </c>
      <c r="D54" s="6">
        <v>5</v>
      </c>
      <c r="E54" s="6">
        <v>4507</v>
      </c>
      <c r="F54" s="6">
        <v>22535</v>
      </c>
      <c r="G54" s="6">
        <v>0.22</v>
      </c>
      <c r="H54" s="6">
        <v>2830.38</v>
      </c>
      <c r="I54" s="6" t="s">
        <v>17</v>
      </c>
      <c r="J54" s="6" t="s">
        <v>29</v>
      </c>
      <c r="K54" s="8">
        <v>2024</v>
      </c>
    </row>
    <row r="55" spans="1:11">
      <c r="A55" s="6">
        <v>1054</v>
      </c>
      <c r="B55" s="6" t="s">
        <v>59</v>
      </c>
      <c r="C55" s="6" t="s">
        <v>20</v>
      </c>
      <c r="D55" s="6">
        <v>1</v>
      </c>
      <c r="E55" s="6">
        <v>4945</v>
      </c>
      <c r="F55" s="6">
        <v>4945</v>
      </c>
      <c r="G55" s="6">
        <v>0.13</v>
      </c>
      <c r="H55" s="6">
        <v>360.1</v>
      </c>
      <c r="I55" s="6" t="s">
        <v>26</v>
      </c>
      <c r="J55" s="6" t="s">
        <v>32</v>
      </c>
      <c r="K55" s="8">
        <v>2024</v>
      </c>
    </row>
    <row r="56" spans="1:11">
      <c r="A56" s="6">
        <v>1055</v>
      </c>
      <c r="B56" s="6" t="s">
        <v>41</v>
      </c>
      <c r="C56" s="6" t="s">
        <v>42</v>
      </c>
      <c r="D56" s="6">
        <v>5</v>
      </c>
      <c r="E56" s="6">
        <v>1655</v>
      </c>
      <c r="F56" s="6">
        <v>8275</v>
      </c>
      <c r="G56" s="6">
        <v>0.15</v>
      </c>
      <c r="H56" s="6">
        <v>1361.37</v>
      </c>
      <c r="I56" s="6" t="s">
        <v>26</v>
      </c>
      <c r="J56" s="6" t="s">
        <v>21</v>
      </c>
      <c r="K56" s="8">
        <v>2025</v>
      </c>
    </row>
    <row r="57" spans="1:11">
      <c r="A57" s="6">
        <v>1056</v>
      </c>
      <c r="B57" s="6" t="s">
        <v>43</v>
      </c>
      <c r="C57" s="6" t="s">
        <v>16</v>
      </c>
      <c r="D57" s="6">
        <v>1</v>
      </c>
      <c r="E57" s="6">
        <v>4997</v>
      </c>
      <c r="F57" s="6">
        <v>4997</v>
      </c>
      <c r="G57" s="6">
        <v>0.05</v>
      </c>
      <c r="H57" s="6">
        <v>517.11</v>
      </c>
      <c r="I57" s="6" t="s">
        <v>17</v>
      </c>
      <c r="J57" s="6" t="s">
        <v>27</v>
      </c>
      <c r="K57" s="8">
        <v>2024</v>
      </c>
    </row>
    <row r="58" spans="1:11">
      <c r="A58" s="6">
        <v>1057</v>
      </c>
      <c r="B58" s="6" t="s">
        <v>11</v>
      </c>
      <c r="C58" s="6" t="s">
        <v>12</v>
      </c>
      <c r="D58" s="6">
        <v>5</v>
      </c>
      <c r="E58" s="6">
        <v>672</v>
      </c>
      <c r="F58" s="6">
        <v>3360</v>
      </c>
      <c r="G58" s="6">
        <v>0.21</v>
      </c>
      <c r="H58" s="6">
        <v>631.25</v>
      </c>
      <c r="I58" s="6" t="s">
        <v>24</v>
      </c>
      <c r="J58" s="6" t="s">
        <v>18</v>
      </c>
      <c r="K58" s="8">
        <v>2024</v>
      </c>
    </row>
    <row r="59" spans="1:11">
      <c r="A59" s="6">
        <v>1058</v>
      </c>
      <c r="B59" s="6" t="s">
        <v>41</v>
      </c>
      <c r="C59" s="6" t="s">
        <v>42</v>
      </c>
      <c r="D59" s="6">
        <v>3</v>
      </c>
      <c r="E59" s="6">
        <v>4258</v>
      </c>
      <c r="F59" s="6">
        <v>12774</v>
      </c>
      <c r="G59" s="6">
        <v>0.25</v>
      </c>
      <c r="H59" s="6">
        <v>2376.81</v>
      </c>
      <c r="I59" s="6" t="s">
        <v>26</v>
      </c>
      <c r="J59" s="6" t="s">
        <v>14</v>
      </c>
      <c r="K59" s="8">
        <v>2025</v>
      </c>
    </row>
    <row r="60" spans="1:11">
      <c r="A60" s="6">
        <v>1059</v>
      </c>
      <c r="B60" s="6" t="s">
        <v>41</v>
      </c>
      <c r="C60" s="6" t="s">
        <v>42</v>
      </c>
      <c r="D60" s="6">
        <v>4</v>
      </c>
      <c r="E60" s="6">
        <v>4613</v>
      </c>
      <c r="F60" s="6">
        <v>18452</v>
      </c>
      <c r="G60" s="6">
        <v>0.14</v>
      </c>
      <c r="H60" s="6">
        <v>4638.84</v>
      </c>
      <c r="I60" s="6" t="s">
        <v>24</v>
      </c>
      <c r="J60" s="6" t="s">
        <v>38</v>
      </c>
      <c r="K60" s="8">
        <v>2025</v>
      </c>
    </row>
    <row r="61" spans="1:11">
      <c r="A61" s="6">
        <v>1060</v>
      </c>
      <c r="B61" s="6" t="s">
        <v>43</v>
      </c>
      <c r="C61" s="6" t="s">
        <v>16</v>
      </c>
      <c r="D61" s="6">
        <v>5</v>
      </c>
      <c r="E61" s="6">
        <v>2191</v>
      </c>
      <c r="F61" s="6">
        <v>10955</v>
      </c>
      <c r="G61" s="6">
        <v>0.21</v>
      </c>
      <c r="H61" s="6">
        <v>2113.88</v>
      </c>
      <c r="I61" s="6" t="s">
        <v>13</v>
      </c>
      <c r="J61" s="6" t="s">
        <v>44</v>
      </c>
      <c r="K61" s="8">
        <v>2025</v>
      </c>
    </row>
    <row r="62" spans="1:11">
      <c r="A62" s="6">
        <v>1061</v>
      </c>
      <c r="B62" s="6" t="s">
        <v>33</v>
      </c>
      <c r="C62" s="6" t="s">
        <v>16</v>
      </c>
      <c r="D62" s="6">
        <v>4</v>
      </c>
      <c r="E62" s="6">
        <v>2545</v>
      </c>
      <c r="F62" s="6">
        <v>10180</v>
      </c>
      <c r="G62" s="6">
        <v>0.24</v>
      </c>
      <c r="H62" s="6">
        <v>1519.88</v>
      </c>
      <c r="I62" s="6" t="s">
        <v>31</v>
      </c>
      <c r="J62" s="6" t="s">
        <v>35</v>
      </c>
      <c r="K62" s="8">
        <v>2025</v>
      </c>
    </row>
    <row r="63" spans="1:11">
      <c r="A63" s="6">
        <v>1062</v>
      </c>
      <c r="B63" s="6" t="s">
        <v>60</v>
      </c>
      <c r="C63" s="6" t="s">
        <v>20</v>
      </c>
      <c r="D63" s="6">
        <v>1</v>
      </c>
      <c r="E63" s="6">
        <v>2333</v>
      </c>
      <c r="F63" s="6">
        <v>2333</v>
      </c>
      <c r="G63" s="6">
        <v>0.3</v>
      </c>
      <c r="H63" s="6">
        <v>607.43</v>
      </c>
      <c r="I63" s="6" t="s">
        <v>26</v>
      </c>
      <c r="J63" s="6" t="s">
        <v>18</v>
      </c>
      <c r="K63" s="8">
        <v>2024</v>
      </c>
    </row>
    <row r="64" spans="1:11">
      <c r="A64" s="6">
        <v>1063</v>
      </c>
      <c r="B64" s="6" t="s">
        <v>41</v>
      </c>
      <c r="C64" s="6" t="s">
        <v>42</v>
      </c>
      <c r="D64" s="6">
        <v>2</v>
      </c>
      <c r="E64" s="6">
        <v>2722</v>
      </c>
      <c r="F64" s="6">
        <v>5444</v>
      </c>
      <c r="G64" s="6">
        <v>0.06</v>
      </c>
      <c r="H64" s="6">
        <v>528.78</v>
      </c>
      <c r="I64" s="6" t="s">
        <v>24</v>
      </c>
      <c r="J64" s="6" t="s">
        <v>38</v>
      </c>
      <c r="K64" s="8">
        <v>2024</v>
      </c>
    </row>
    <row r="65" spans="1:11">
      <c r="A65" s="6">
        <v>1064</v>
      </c>
      <c r="B65" s="6" t="s">
        <v>22</v>
      </c>
      <c r="C65" s="6" t="s">
        <v>23</v>
      </c>
      <c r="D65" s="6">
        <v>4</v>
      </c>
      <c r="E65" s="6">
        <v>1343</v>
      </c>
      <c r="F65" s="6">
        <v>5372</v>
      </c>
      <c r="G65" s="6">
        <v>0.06</v>
      </c>
      <c r="H65" s="6">
        <v>303.69</v>
      </c>
      <c r="I65" s="6" t="s">
        <v>13</v>
      </c>
      <c r="J65" s="6" t="s">
        <v>18</v>
      </c>
      <c r="K65" s="8">
        <v>2025</v>
      </c>
    </row>
    <row r="66" spans="1:11">
      <c r="A66" s="6">
        <v>1065</v>
      </c>
      <c r="B66" s="6" t="s">
        <v>25</v>
      </c>
      <c r="C66" s="6" t="s">
        <v>12</v>
      </c>
      <c r="D66" s="6">
        <v>3</v>
      </c>
      <c r="E66" s="6">
        <v>3323</v>
      </c>
      <c r="F66" s="6">
        <v>9969</v>
      </c>
      <c r="G66" s="6">
        <v>0.3</v>
      </c>
      <c r="H66" s="6">
        <v>2306.1</v>
      </c>
      <c r="I66" s="6" t="s">
        <v>13</v>
      </c>
      <c r="J66" s="6" t="s">
        <v>45</v>
      </c>
      <c r="K66" s="8">
        <v>2025</v>
      </c>
    </row>
    <row r="67" spans="1:11">
      <c r="A67" s="6">
        <v>1066</v>
      </c>
      <c r="B67" s="6" t="s">
        <v>41</v>
      </c>
      <c r="C67" s="6" t="s">
        <v>42</v>
      </c>
      <c r="D67" s="6">
        <v>1</v>
      </c>
      <c r="E67" s="6">
        <v>1831</v>
      </c>
      <c r="F67" s="6">
        <v>1831</v>
      </c>
      <c r="G67" s="6">
        <v>0.11</v>
      </c>
      <c r="H67" s="6">
        <v>374.5</v>
      </c>
      <c r="I67" s="6" t="s">
        <v>31</v>
      </c>
      <c r="J67" s="6" t="s">
        <v>44</v>
      </c>
      <c r="K67" s="8">
        <v>2024</v>
      </c>
    </row>
    <row r="68" spans="1:11">
      <c r="A68" s="6">
        <v>1067</v>
      </c>
      <c r="B68" s="6" t="s">
        <v>61</v>
      </c>
      <c r="C68" s="6" t="s">
        <v>20</v>
      </c>
      <c r="D68" s="6">
        <v>1</v>
      </c>
      <c r="E68" s="6">
        <v>1153</v>
      </c>
      <c r="F68" s="6">
        <v>1153</v>
      </c>
      <c r="G68" s="6">
        <v>0.13</v>
      </c>
      <c r="H68" s="6">
        <v>337.19</v>
      </c>
      <c r="I68" s="6" t="s">
        <v>26</v>
      </c>
      <c r="J68" s="6" t="s">
        <v>21</v>
      </c>
      <c r="K68" s="8">
        <v>2025</v>
      </c>
    </row>
    <row r="69" spans="1:11">
      <c r="A69" s="6">
        <v>1068</v>
      </c>
      <c r="B69" s="6" t="s">
        <v>33</v>
      </c>
      <c r="C69" s="6" t="s">
        <v>16</v>
      </c>
      <c r="D69" s="6">
        <v>2</v>
      </c>
      <c r="E69" s="6">
        <v>2581</v>
      </c>
      <c r="F69" s="6">
        <v>5162</v>
      </c>
      <c r="G69" s="6">
        <v>0.23</v>
      </c>
      <c r="H69" s="6">
        <v>1055.11</v>
      </c>
      <c r="I69" s="6" t="s">
        <v>26</v>
      </c>
      <c r="J69" s="6" t="s">
        <v>29</v>
      </c>
      <c r="K69" s="8">
        <v>2024</v>
      </c>
    </row>
    <row r="70" spans="1:11">
      <c r="A70" s="6">
        <v>1069</v>
      </c>
      <c r="B70" s="6" t="s">
        <v>56</v>
      </c>
      <c r="C70" s="6" t="s">
        <v>16</v>
      </c>
      <c r="D70" s="6">
        <v>2</v>
      </c>
      <c r="E70" s="6">
        <v>4313</v>
      </c>
      <c r="F70" s="6">
        <v>8626</v>
      </c>
      <c r="G70" s="6">
        <v>0.29</v>
      </c>
      <c r="H70" s="6">
        <v>1024.72</v>
      </c>
      <c r="I70" s="6" t="s">
        <v>26</v>
      </c>
      <c r="J70" s="6" t="s">
        <v>36</v>
      </c>
      <c r="K70" s="8">
        <v>2025</v>
      </c>
    </row>
    <row r="71" spans="1:11">
      <c r="A71" s="6">
        <v>1070</v>
      </c>
      <c r="B71" s="6" t="s">
        <v>25</v>
      </c>
      <c r="C71" s="6" t="s">
        <v>12</v>
      </c>
      <c r="D71" s="6">
        <v>1</v>
      </c>
      <c r="E71" s="6">
        <v>676</v>
      </c>
      <c r="F71" s="6">
        <v>676</v>
      </c>
      <c r="G71" s="6">
        <v>0.22</v>
      </c>
      <c r="H71" s="6">
        <v>129.14</v>
      </c>
      <c r="I71" s="6" t="s">
        <v>26</v>
      </c>
      <c r="J71" s="6" t="s">
        <v>18</v>
      </c>
      <c r="K71" s="8">
        <v>2025</v>
      </c>
    </row>
    <row r="72" spans="1:11">
      <c r="A72" s="6">
        <v>1071</v>
      </c>
      <c r="B72" s="6" t="s">
        <v>51</v>
      </c>
      <c r="C72" s="6" t="s">
        <v>20</v>
      </c>
      <c r="D72" s="6">
        <v>3</v>
      </c>
      <c r="E72" s="6">
        <v>4738</v>
      </c>
      <c r="F72" s="6">
        <v>14214</v>
      </c>
      <c r="G72" s="6">
        <v>0.05</v>
      </c>
      <c r="H72" s="6">
        <v>2935.52</v>
      </c>
      <c r="I72" s="6" t="s">
        <v>31</v>
      </c>
      <c r="J72" s="6" t="s">
        <v>35</v>
      </c>
      <c r="K72" s="8">
        <v>2024</v>
      </c>
    </row>
    <row r="73" spans="1:11">
      <c r="A73" s="6">
        <v>1072</v>
      </c>
      <c r="B73" s="6" t="s">
        <v>37</v>
      </c>
      <c r="C73" s="6" t="s">
        <v>23</v>
      </c>
      <c r="D73" s="6">
        <v>3</v>
      </c>
      <c r="E73" s="6">
        <v>2756</v>
      </c>
      <c r="F73" s="6">
        <v>8268</v>
      </c>
      <c r="G73" s="6">
        <v>0.21</v>
      </c>
      <c r="H73" s="6">
        <v>1305.88</v>
      </c>
      <c r="I73" s="6" t="s">
        <v>31</v>
      </c>
      <c r="J73" s="6" t="s">
        <v>14</v>
      </c>
      <c r="K73" s="8">
        <v>2025</v>
      </c>
    </row>
    <row r="74" spans="1:11">
      <c r="A74" s="6">
        <v>1073</v>
      </c>
      <c r="B74" s="6" t="s">
        <v>62</v>
      </c>
      <c r="C74" s="6" t="s">
        <v>12</v>
      </c>
      <c r="D74" s="6">
        <v>1</v>
      </c>
      <c r="E74" s="6">
        <v>2228</v>
      </c>
      <c r="F74" s="6">
        <v>2228</v>
      </c>
      <c r="G74" s="6">
        <v>0.1</v>
      </c>
      <c r="H74" s="6">
        <v>283.06</v>
      </c>
      <c r="I74" s="6" t="s">
        <v>31</v>
      </c>
      <c r="J74" s="6" t="s">
        <v>44</v>
      </c>
      <c r="K74" s="8">
        <v>2025</v>
      </c>
    </row>
    <row r="75" spans="1:11">
      <c r="A75" s="6">
        <v>1074</v>
      </c>
      <c r="B75" s="6" t="s">
        <v>61</v>
      </c>
      <c r="C75" s="6" t="s">
        <v>16</v>
      </c>
      <c r="D75" s="6">
        <v>2</v>
      </c>
      <c r="E75" s="6">
        <v>3817</v>
      </c>
      <c r="F75" s="6">
        <v>7634</v>
      </c>
      <c r="G75" s="6">
        <v>0.15</v>
      </c>
      <c r="H75" s="6">
        <v>1560.43</v>
      </c>
      <c r="I75" s="6" t="s">
        <v>24</v>
      </c>
      <c r="J75" s="6" t="s">
        <v>29</v>
      </c>
      <c r="K75" s="8">
        <v>2024</v>
      </c>
    </row>
    <row r="76" spans="1:11">
      <c r="A76" s="6">
        <v>1075</v>
      </c>
      <c r="B76" s="6" t="s">
        <v>22</v>
      </c>
      <c r="C76" s="6" t="s">
        <v>23</v>
      </c>
      <c r="D76" s="6">
        <v>1</v>
      </c>
      <c r="E76" s="6">
        <v>1174</v>
      </c>
      <c r="F76" s="6">
        <v>1174</v>
      </c>
      <c r="G76" s="6">
        <v>0.17</v>
      </c>
      <c r="H76" s="6">
        <v>273.14</v>
      </c>
      <c r="I76" s="6" t="s">
        <v>26</v>
      </c>
      <c r="J76" s="6" t="s">
        <v>27</v>
      </c>
      <c r="K76" s="8">
        <v>2025</v>
      </c>
    </row>
    <row r="77" spans="1:11">
      <c r="A77" s="6">
        <v>1076</v>
      </c>
      <c r="B77" s="6" t="s">
        <v>53</v>
      </c>
      <c r="C77" s="6" t="s">
        <v>20</v>
      </c>
      <c r="D77" s="6">
        <v>2</v>
      </c>
      <c r="E77" s="6">
        <v>2823</v>
      </c>
      <c r="F77" s="6">
        <v>5646</v>
      </c>
      <c r="G77" s="6">
        <v>0.28</v>
      </c>
      <c r="H77" s="6">
        <v>1006.5</v>
      </c>
      <c r="I77" s="6" t="s">
        <v>31</v>
      </c>
      <c r="J77" s="6" t="s">
        <v>44</v>
      </c>
      <c r="K77" s="8">
        <v>2024</v>
      </c>
    </row>
    <row r="78" spans="1:11">
      <c r="A78" s="6">
        <v>1077</v>
      </c>
      <c r="B78" s="6" t="s">
        <v>41</v>
      </c>
      <c r="C78" s="6" t="s">
        <v>42</v>
      </c>
      <c r="D78" s="6">
        <v>2</v>
      </c>
      <c r="E78" s="6">
        <v>2782</v>
      </c>
      <c r="F78" s="6">
        <v>5564</v>
      </c>
      <c r="G78" s="6">
        <v>0.09</v>
      </c>
      <c r="H78" s="6">
        <v>491.73</v>
      </c>
      <c r="I78" s="6" t="s">
        <v>17</v>
      </c>
      <c r="J78" s="6" t="s">
        <v>47</v>
      </c>
      <c r="K78" s="8">
        <v>2024</v>
      </c>
    </row>
    <row r="79" spans="1:11">
      <c r="A79" s="6">
        <v>1078</v>
      </c>
      <c r="B79" s="6" t="s">
        <v>53</v>
      </c>
      <c r="C79" s="6" t="s">
        <v>20</v>
      </c>
      <c r="D79" s="6">
        <v>2</v>
      </c>
      <c r="E79" s="6">
        <v>1630</v>
      </c>
      <c r="F79" s="6">
        <v>3260</v>
      </c>
      <c r="G79" s="6">
        <v>0.14</v>
      </c>
      <c r="H79" s="6">
        <v>575.27</v>
      </c>
      <c r="I79" s="6" t="s">
        <v>24</v>
      </c>
      <c r="J79" s="6" t="s">
        <v>32</v>
      </c>
      <c r="K79" s="8">
        <v>2024</v>
      </c>
    </row>
    <row r="80" spans="1:11">
      <c r="A80" s="6">
        <v>1079</v>
      </c>
      <c r="B80" s="6" t="s">
        <v>51</v>
      </c>
      <c r="C80" s="6" t="s">
        <v>20</v>
      </c>
      <c r="D80" s="6">
        <v>4</v>
      </c>
      <c r="E80" s="6">
        <v>2649</v>
      </c>
      <c r="F80" s="6">
        <v>10596</v>
      </c>
      <c r="G80" s="6">
        <v>0.17</v>
      </c>
      <c r="H80" s="6">
        <v>1985.46</v>
      </c>
      <c r="I80" s="6" t="s">
        <v>31</v>
      </c>
      <c r="J80" s="6" t="s">
        <v>44</v>
      </c>
      <c r="K80" s="8">
        <v>2025</v>
      </c>
    </row>
    <row r="81" spans="1:11">
      <c r="A81" s="6">
        <v>1080</v>
      </c>
      <c r="B81" s="6" t="s">
        <v>60</v>
      </c>
      <c r="C81" s="6" t="s">
        <v>20</v>
      </c>
      <c r="D81" s="6">
        <v>1</v>
      </c>
      <c r="E81" s="6">
        <v>3176</v>
      </c>
      <c r="F81" s="6">
        <v>3176</v>
      </c>
      <c r="G81" s="6">
        <v>0.24</v>
      </c>
      <c r="H81" s="6">
        <v>543.57</v>
      </c>
      <c r="I81" s="6" t="s">
        <v>26</v>
      </c>
      <c r="J81" s="6" t="s">
        <v>45</v>
      </c>
      <c r="K81" s="8">
        <v>2024</v>
      </c>
    </row>
    <row r="82" spans="1:11">
      <c r="A82" s="6">
        <v>1081</v>
      </c>
      <c r="B82" s="6" t="s">
        <v>53</v>
      </c>
      <c r="C82" s="6" t="s">
        <v>20</v>
      </c>
      <c r="D82" s="6">
        <v>5</v>
      </c>
      <c r="E82" s="6">
        <v>3811</v>
      </c>
      <c r="F82" s="6">
        <v>19055</v>
      </c>
      <c r="G82" s="6">
        <v>0.1</v>
      </c>
      <c r="H82" s="6">
        <v>2709.78</v>
      </c>
      <c r="I82" s="6" t="s">
        <v>24</v>
      </c>
      <c r="J82" s="6" t="s">
        <v>27</v>
      </c>
      <c r="K82" s="8">
        <v>2025</v>
      </c>
    </row>
    <row r="83" spans="1:11">
      <c r="A83" s="6">
        <v>1082</v>
      </c>
      <c r="B83" s="6" t="s">
        <v>62</v>
      </c>
      <c r="C83" s="6" t="s">
        <v>12</v>
      </c>
      <c r="D83" s="6">
        <v>5</v>
      </c>
      <c r="E83" s="6">
        <v>3086</v>
      </c>
      <c r="F83" s="6">
        <v>15430</v>
      </c>
      <c r="G83" s="6">
        <v>0.05</v>
      </c>
      <c r="H83" s="6">
        <v>3101.86</v>
      </c>
      <c r="I83" s="6" t="s">
        <v>13</v>
      </c>
      <c r="J83" s="6" t="s">
        <v>38</v>
      </c>
      <c r="K83" s="8">
        <v>2025</v>
      </c>
    </row>
    <row r="84" spans="1:11">
      <c r="A84" s="6">
        <v>1083</v>
      </c>
      <c r="B84" s="6" t="s">
        <v>33</v>
      </c>
      <c r="C84" s="6" t="s">
        <v>16</v>
      </c>
      <c r="D84" s="6">
        <v>4</v>
      </c>
      <c r="E84" s="6">
        <v>2997</v>
      </c>
      <c r="F84" s="6">
        <v>11988</v>
      </c>
      <c r="G84" s="6">
        <v>0.13</v>
      </c>
      <c r="H84" s="6">
        <v>1568.23</v>
      </c>
      <c r="I84" s="6" t="s">
        <v>24</v>
      </c>
      <c r="J84" s="6" t="s">
        <v>47</v>
      </c>
      <c r="K84" s="8">
        <v>2024</v>
      </c>
    </row>
    <row r="85" spans="1:11">
      <c r="A85" s="6">
        <v>1084</v>
      </c>
      <c r="B85" s="6" t="s">
        <v>41</v>
      </c>
      <c r="C85" s="6" t="s">
        <v>42</v>
      </c>
      <c r="D85" s="6">
        <v>2</v>
      </c>
      <c r="E85" s="6">
        <v>4799</v>
      </c>
      <c r="F85" s="6">
        <v>9598</v>
      </c>
      <c r="G85" s="6">
        <v>0.12</v>
      </c>
      <c r="H85" s="6">
        <v>2713</v>
      </c>
      <c r="I85" s="6" t="s">
        <v>31</v>
      </c>
      <c r="J85" s="6" t="s">
        <v>47</v>
      </c>
      <c r="K85" s="8">
        <v>2024</v>
      </c>
    </row>
    <row r="86" spans="1:11">
      <c r="A86" s="6">
        <v>1085</v>
      </c>
      <c r="B86" s="6" t="s">
        <v>41</v>
      </c>
      <c r="C86" s="6" t="s">
        <v>42</v>
      </c>
      <c r="D86" s="6">
        <v>1</v>
      </c>
      <c r="E86" s="6">
        <v>4920</v>
      </c>
      <c r="F86" s="6">
        <v>4920</v>
      </c>
      <c r="G86" s="6">
        <v>0.1</v>
      </c>
      <c r="H86" s="6">
        <v>484.35</v>
      </c>
      <c r="I86" s="6" t="s">
        <v>24</v>
      </c>
      <c r="J86" s="6" t="s">
        <v>14</v>
      </c>
      <c r="K86" s="8">
        <v>2024</v>
      </c>
    </row>
    <row r="87" spans="1:11">
      <c r="A87" s="6">
        <v>1086</v>
      </c>
      <c r="B87" s="6" t="s">
        <v>55</v>
      </c>
      <c r="C87" s="6" t="s">
        <v>20</v>
      </c>
      <c r="D87" s="6">
        <v>5</v>
      </c>
      <c r="E87" s="6">
        <v>3554</v>
      </c>
      <c r="F87" s="6">
        <v>17770</v>
      </c>
      <c r="G87" s="6">
        <v>0.07</v>
      </c>
      <c r="H87" s="6">
        <v>1932.9</v>
      </c>
      <c r="I87" s="6" t="s">
        <v>31</v>
      </c>
      <c r="J87" s="6" t="s">
        <v>44</v>
      </c>
      <c r="K87" s="8">
        <v>2024</v>
      </c>
    </row>
    <row r="88" spans="1:11">
      <c r="A88" s="6">
        <v>1087</v>
      </c>
      <c r="B88" s="6" t="s">
        <v>41</v>
      </c>
      <c r="C88" s="6" t="s">
        <v>42</v>
      </c>
      <c r="D88" s="6">
        <v>3</v>
      </c>
      <c r="E88" s="6">
        <v>4870</v>
      </c>
      <c r="F88" s="6">
        <v>14610</v>
      </c>
      <c r="G88" s="6">
        <v>0.23</v>
      </c>
      <c r="H88" s="6">
        <v>1038.28</v>
      </c>
      <c r="I88" s="6" t="s">
        <v>17</v>
      </c>
      <c r="J88" s="6" t="s">
        <v>47</v>
      </c>
      <c r="K88" s="8">
        <v>2024</v>
      </c>
    </row>
    <row r="89" spans="1:11">
      <c r="A89" s="6">
        <v>1088</v>
      </c>
      <c r="B89" s="6" t="s">
        <v>46</v>
      </c>
      <c r="C89" s="6" t="s">
        <v>12</v>
      </c>
      <c r="D89" s="6">
        <v>3</v>
      </c>
      <c r="E89" s="6">
        <v>2947</v>
      </c>
      <c r="F89" s="6">
        <v>8841</v>
      </c>
      <c r="G89" s="6">
        <v>0.15</v>
      </c>
      <c r="H89" s="6">
        <v>895.45</v>
      </c>
      <c r="I89" s="6" t="s">
        <v>13</v>
      </c>
      <c r="J89" s="6" t="s">
        <v>36</v>
      </c>
      <c r="K89" s="8">
        <v>2025</v>
      </c>
    </row>
    <row r="90" spans="1:11">
      <c r="A90" s="6">
        <v>1089</v>
      </c>
      <c r="B90" s="6" t="s">
        <v>39</v>
      </c>
      <c r="C90" s="6" t="s">
        <v>16</v>
      </c>
      <c r="D90" s="6">
        <v>2</v>
      </c>
      <c r="E90" s="6">
        <v>3087</v>
      </c>
      <c r="F90" s="6">
        <v>6174</v>
      </c>
      <c r="G90" s="6">
        <v>0.1</v>
      </c>
      <c r="H90" s="6">
        <v>1285.66</v>
      </c>
      <c r="I90" s="6" t="s">
        <v>13</v>
      </c>
      <c r="J90" s="6" t="s">
        <v>44</v>
      </c>
      <c r="K90" s="8">
        <v>2024</v>
      </c>
    </row>
    <row r="91" spans="1:11">
      <c r="A91" s="6">
        <v>1090</v>
      </c>
      <c r="B91" s="6" t="s">
        <v>41</v>
      </c>
      <c r="C91" s="6" t="s">
        <v>42</v>
      </c>
      <c r="D91" s="6">
        <v>4</v>
      </c>
      <c r="E91" s="6">
        <v>3205</v>
      </c>
      <c r="F91" s="6">
        <v>12820</v>
      </c>
      <c r="G91" s="6">
        <v>0.15</v>
      </c>
      <c r="H91" s="6">
        <v>2326.53</v>
      </c>
      <c r="I91" s="6" t="s">
        <v>13</v>
      </c>
      <c r="J91" s="6" t="s">
        <v>21</v>
      </c>
      <c r="K91" s="8">
        <v>2025</v>
      </c>
    </row>
    <row r="92" spans="1:11">
      <c r="A92" s="6">
        <v>1091</v>
      </c>
      <c r="B92" s="6" t="s">
        <v>61</v>
      </c>
      <c r="C92" s="6" t="s">
        <v>16</v>
      </c>
      <c r="D92" s="6">
        <v>4</v>
      </c>
      <c r="E92" s="6">
        <v>3625</v>
      </c>
      <c r="F92" s="6">
        <v>14500</v>
      </c>
      <c r="G92" s="6">
        <v>0.16</v>
      </c>
      <c r="H92" s="6">
        <v>970.68</v>
      </c>
      <c r="I92" s="6" t="s">
        <v>13</v>
      </c>
      <c r="J92" s="6" t="s">
        <v>45</v>
      </c>
      <c r="K92" s="8">
        <v>2025</v>
      </c>
    </row>
    <row r="93" spans="1:11">
      <c r="A93" s="6">
        <v>1092</v>
      </c>
      <c r="B93" s="6" t="s">
        <v>59</v>
      </c>
      <c r="C93" s="6" t="s">
        <v>20</v>
      </c>
      <c r="D93" s="6">
        <v>2</v>
      </c>
      <c r="E93" s="6">
        <v>3208</v>
      </c>
      <c r="F93" s="6">
        <v>6416</v>
      </c>
      <c r="G93" s="6">
        <v>0.2</v>
      </c>
      <c r="H93" s="6">
        <v>1651.27</v>
      </c>
      <c r="I93" s="6" t="s">
        <v>17</v>
      </c>
      <c r="J93" s="6" t="s">
        <v>45</v>
      </c>
      <c r="K93" s="8">
        <v>2025</v>
      </c>
    </row>
    <row r="94" spans="1:11">
      <c r="A94" s="6">
        <v>1093</v>
      </c>
      <c r="B94" s="6" t="s">
        <v>39</v>
      </c>
      <c r="C94" s="6" t="s">
        <v>16</v>
      </c>
      <c r="D94" s="6">
        <v>5</v>
      </c>
      <c r="E94" s="6">
        <v>1855</v>
      </c>
      <c r="F94" s="6">
        <v>9275</v>
      </c>
      <c r="G94" s="6">
        <v>0.05</v>
      </c>
      <c r="H94" s="6">
        <v>1137.96</v>
      </c>
      <c r="I94" s="6" t="s">
        <v>31</v>
      </c>
      <c r="J94" s="6" t="s">
        <v>35</v>
      </c>
      <c r="K94" s="8">
        <v>2024</v>
      </c>
    </row>
    <row r="95" spans="1:11">
      <c r="A95" s="6">
        <v>1094</v>
      </c>
      <c r="B95" s="6" t="s">
        <v>46</v>
      </c>
      <c r="C95" s="6" t="s">
        <v>12</v>
      </c>
      <c r="D95" s="6">
        <v>3</v>
      </c>
      <c r="E95" s="6">
        <v>639</v>
      </c>
      <c r="F95" s="6">
        <v>1917</v>
      </c>
      <c r="G95" s="6">
        <v>0.12</v>
      </c>
      <c r="H95" s="6">
        <v>493.92</v>
      </c>
      <c r="I95" s="6" t="s">
        <v>24</v>
      </c>
      <c r="J95" s="6" t="s">
        <v>36</v>
      </c>
      <c r="K95" s="8">
        <v>2024</v>
      </c>
    </row>
    <row r="96" spans="1:11">
      <c r="A96" s="6">
        <v>1095</v>
      </c>
      <c r="B96" s="6" t="s">
        <v>63</v>
      </c>
      <c r="C96" s="6" t="s">
        <v>23</v>
      </c>
      <c r="D96" s="6">
        <v>2</v>
      </c>
      <c r="E96" s="6">
        <v>3079</v>
      </c>
      <c r="F96" s="6">
        <v>6158</v>
      </c>
      <c r="G96" s="6">
        <v>0.2</v>
      </c>
      <c r="H96" s="6">
        <v>762.43</v>
      </c>
      <c r="I96" s="6" t="s">
        <v>24</v>
      </c>
      <c r="J96" s="6" t="s">
        <v>32</v>
      </c>
      <c r="K96" s="8">
        <v>2024</v>
      </c>
    </row>
    <row r="97" spans="1:11">
      <c r="A97" s="6">
        <v>1096</v>
      </c>
      <c r="B97" s="6" t="s">
        <v>59</v>
      </c>
      <c r="C97" s="6" t="s">
        <v>20</v>
      </c>
      <c r="D97" s="6">
        <v>5</v>
      </c>
      <c r="E97" s="6">
        <v>3906</v>
      </c>
      <c r="F97" s="6">
        <v>19530</v>
      </c>
      <c r="G97" s="6">
        <v>0.26</v>
      </c>
      <c r="H97" s="6">
        <v>4216.88</v>
      </c>
      <c r="I97" s="6" t="s">
        <v>17</v>
      </c>
      <c r="J97" s="6" t="s">
        <v>45</v>
      </c>
      <c r="K97" s="8">
        <v>2024</v>
      </c>
    </row>
    <row r="98" spans="1:11">
      <c r="A98" s="6">
        <v>1097</v>
      </c>
      <c r="B98" s="6" t="s">
        <v>41</v>
      </c>
      <c r="C98" s="6" t="s">
        <v>42</v>
      </c>
      <c r="D98" s="6">
        <v>5</v>
      </c>
      <c r="E98" s="6">
        <v>2452</v>
      </c>
      <c r="F98" s="6">
        <v>12260</v>
      </c>
      <c r="G98" s="6">
        <v>0.3</v>
      </c>
      <c r="H98" s="6">
        <v>2167.55</v>
      </c>
      <c r="I98" s="6" t="s">
        <v>24</v>
      </c>
      <c r="J98" s="6" t="s">
        <v>14</v>
      </c>
      <c r="K98" s="8">
        <v>2024</v>
      </c>
    </row>
    <row r="99" spans="1:11">
      <c r="A99" s="6">
        <v>1098</v>
      </c>
      <c r="B99" s="6" t="s">
        <v>58</v>
      </c>
      <c r="C99" s="6" t="s">
        <v>23</v>
      </c>
      <c r="D99" s="6">
        <v>3</v>
      </c>
      <c r="E99" s="6">
        <v>2215</v>
      </c>
      <c r="F99" s="6">
        <v>6645</v>
      </c>
      <c r="G99" s="6">
        <v>0.13</v>
      </c>
      <c r="H99" s="6">
        <v>1520.26</v>
      </c>
      <c r="I99" s="6" t="s">
        <v>13</v>
      </c>
      <c r="J99" s="6" t="s">
        <v>47</v>
      </c>
      <c r="K99" s="8">
        <v>2024</v>
      </c>
    </row>
    <row r="100" spans="1:11">
      <c r="A100" s="6">
        <v>1099</v>
      </c>
      <c r="B100" s="6" t="s">
        <v>64</v>
      </c>
      <c r="C100" s="6" t="s">
        <v>12</v>
      </c>
      <c r="D100" s="6">
        <v>4</v>
      </c>
      <c r="E100" s="6">
        <v>2844</v>
      </c>
      <c r="F100" s="6">
        <v>11376</v>
      </c>
      <c r="G100" s="6">
        <v>0.26</v>
      </c>
      <c r="H100" s="6">
        <v>2605.89</v>
      </c>
      <c r="I100" s="6" t="s">
        <v>13</v>
      </c>
      <c r="J100" s="6" t="s">
        <v>45</v>
      </c>
      <c r="K100" s="8">
        <v>2024</v>
      </c>
    </row>
    <row r="101" spans="1:11">
      <c r="A101" s="6">
        <v>1100</v>
      </c>
      <c r="B101" s="6" t="s">
        <v>52</v>
      </c>
      <c r="C101" s="6" t="s">
        <v>12</v>
      </c>
      <c r="D101" s="6">
        <v>4</v>
      </c>
      <c r="E101" s="6">
        <v>3524</v>
      </c>
      <c r="F101" s="6">
        <v>14096</v>
      </c>
      <c r="G101" s="6">
        <v>0.13</v>
      </c>
      <c r="H101" s="6">
        <v>2119.55</v>
      </c>
      <c r="I101" s="6" t="s">
        <v>26</v>
      </c>
      <c r="J101" s="6" t="s">
        <v>32</v>
      </c>
      <c r="K101" s="8">
        <v>2025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9"/>
  <sheetViews>
    <sheetView zoomScale="70" zoomScaleNormal="70" workbookViewId="0">
      <selection activeCell="I15" sqref="I15"/>
    </sheetView>
  </sheetViews>
  <sheetFormatPr defaultColWidth="9" defaultRowHeight="14.4"/>
  <cols>
    <col min="1" max="1" width="15.3333333333333" customWidth="1"/>
    <col min="2" max="2" width="16.7777777777778" customWidth="1"/>
    <col min="4" max="5" width="16.7777777777778" customWidth="1"/>
    <col min="6" max="6" width="12.4444444444444" customWidth="1"/>
    <col min="7" max="7" width="15.8888888888889" customWidth="1"/>
    <col min="8" max="8" width="15.2222222222222" customWidth="1"/>
    <col min="9" max="9" width="15.7777777777778" customWidth="1"/>
    <col min="10" max="10" width="16.7777777777778" customWidth="1"/>
  </cols>
  <sheetData>
    <row r="3" spans="1:10">
      <c r="A3" t="s">
        <v>65</v>
      </c>
      <c r="B3" t="s">
        <v>66</v>
      </c>
      <c r="D3" t="s">
        <v>65</v>
      </c>
      <c r="E3" t="s">
        <v>66</v>
      </c>
      <c r="F3" t="s">
        <v>67</v>
      </c>
      <c r="I3" t="s">
        <v>65</v>
      </c>
      <c r="J3" t="s">
        <v>66</v>
      </c>
    </row>
    <row r="4" spans="1:10">
      <c r="A4" s="1" t="s">
        <v>46</v>
      </c>
      <c r="B4" s="2">
        <v>48550</v>
      </c>
      <c r="D4" s="1">
        <v>2024</v>
      </c>
      <c r="E4" s="2">
        <v>419603</v>
      </c>
      <c r="F4" s="2">
        <v>73134.72</v>
      </c>
      <c r="G4" s="1"/>
      <c r="H4" s="2"/>
      <c r="I4" s="1" t="s">
        <v>17</v>
      </c>
      <c r="J4" s="2">
        <v>128475</v>
      </c>
    </row>
    <row r="5" spans="1:10">
      <c r="A5" s="1" t="s">
        <v>41</v>
      </c>
      <c r="B5" s="2">
        <v>157999</v>
      </c>
      <c r="D5" s="1">
        <v>2025</v>
      </c>
      <c r="E5" s="2">
        <v>454461</v>
      </c>
      <c r="F5" s="2">
        <v>81285.66</v>
      </c>
      <c r="G5" s="1"/>
      <c r="H5" s="2"/>
      <c r="I5" s="1" t="s">
        <v>26</v>
      </c>
      <c r="J5" s="2">
        <v>123635</v>
      </c>
    </row>
    <row r="6" spans="1:10">
      <c r="A6" s="1" t="s">
        <v>53</v>
      </c>
      <c r="B6" s="2">
        <v>34602</v>
      </c>
      <c r="D6" s="1" t="s">
        <v>68</v>
      </c>
      <c r="E6" s="2">
        <v>874064</v>
      </c>
      <c r="F6" s="2">
        <v>154420.38</v>
      </c>
      <c r="G6" s="1"/>
      <c r="H6" s="2"/>
      <c r="I6" s="1" t="s">
        <v>24</v>
      </c>
      <c r="J6" s="2">
        <v>259207</v>
      </c>
    </row>
    <row r="7" spans="1:10">
      <c r="A7" s="1" t="s">
        <v>59</v>
      </c>
      <c r="B7" s="2">
        <v>30891</v>
      </c>
      <c r="G7" s="1"/>
      <c r="H7" s="2"/>
      <c r="I7" s="1" t="s">
        <v>13</v>
      </c>
      <c r="J7" s="2">
        <v>183877</v>
      </c>
    </row>
    <row r="8" spans="1:10">
      <c r="A8" s="1" t="s">
        <v>48</v>
      </c>
      <c r="B8" s="2">
        <v>30305</v>
      </c>
      <c r="D8" t="s">
        <v>65</v>
      </c>
      <c r="E8" t="s">
        <v>66</v>
      </c>
      <c r="G8" s="1"/>
      <c r="H8" s="2"/>
      <c r="I8" s="1" t="s">
        <v>31</v>
      </c>
      <c r="J8" s="2">
        <v>178870</v>
      </c>
    </row>
    <row r="9" spans="1:10">
      <c r="A9" s="1" t="s">
        <v>50</v>
      </c>
      <c r="B9" s="2">
        <v>33888</v>
      </c>
      <c r="D9" s="1" t="s">
        <v>23</v>
      </c>
      <c r="E9" s="2">
        <v>179777</v>
      </c>
      <c r="G9" s="1"/>
      <c r="H9" s="2"/>
      <c r="I9" s="1" t="s">
        <v>68</v>
      </c>
      <c r="J9" s="2">
        <v>874064</v>
      </c>
    </row>
    <row r="10" spans="1:5">
      <c r="A10" s="1" t="s">
        <v>11</v>
      </c>
      <c r="B10" s="2">
        <v>40916</v>
      </c>
      <c r="D10" s="1" t="s">
        <v>42</v>
      </c>
      <c r="E10" s="2">
        <v>157999</v>
      </c>
    </row>
    <row r="11" spans="1:5">
      <c r="A11" s="1" t="s">
        <v>37</v>
      </c>
      <c r="B11" s="2">
        <v>51255</v>
      </c>
      <c r="D11" s="1" t="s">
        <v>20</v>
      </c>
      <c r="E11" s="2">
        <v>177990</v>
      </c>
    </row>
    <row r="12" spans="1:5">
      <c r="A12" s="1" t="s">
        <v>25</v>
      </c>
      <c r="B12" s="2">
        <v>41844</v>
      </c>
      <c r="D12" s="1" t="s">
        <v>16</v>
      </c>
      <c r="E12" s="2">
        <v>131403</v>
      </c>
    </row>
    <row r="13" spans="1:5">
      <c r="A13" s="1" t="s">
        <v>43</v>
      </c>
      <c r="B13" s="2">
        <v>59960</v>
      </c>
      <c r="D13" s="1" t="s">
        <v>12</v>
      </c>
      <c r="E13" s="2">
        <v>226895</v>
      </c>
    </row>
    <row r="14" spans="1:5">
      <c r="A14" s="1" t="s">
        <v>68</v>
      </c>
      <c r="B14" s="2">
        <v>530210</v>
      </c>
      <c r="D14" s="1" t="s">
        <v>68</v>
      </c>
      <c r="E14" s="2">
        <v>874064</v>
      </c>
    </row>
    <row r="16" spans="1:8">
      <c r="A16" t="s">
        <v>65</v>
      </c>
      <c r="B16" t="s">
        <v>66</v>
      </c>
      <c r="D16" t="s">
        <v>66</v>
      </c>
      <c r="F16" t="s">
        <v>67</v>
      </c>
      <c r="H16" t="s">
        <v>69</v>
      </c>
    </row>
    <row r="17" spans="1:8">
      <c r="A17" s="1" t="s">
        <v>45</v>
      </c>
      <c r="B17" s="2">
        <v>105003</v>
      </c>
      <c r="D17" s="2">
        <v>874064</v>
      </c>
      <c r="F17" s="2">
        <v>154420.38</v>
      </c>
      <c r="H17" s="2">
        <v>16.78</v>
      </c>
    </row>
    <row r="18" spans="1:2">
      <c r="A18" s="1" t="s">
        <v>36</v>
      </c>
      <c r="B18" s="2">
        <v>36791</v>
      </c>
    </row>
    <row r="19" spans="1:8">
      <c r="A19" s="1" t="s">
        <v>14</v>
      </c>
      <c r="B19" s="2">
        <v>110759</v>
      </c>
      <c r="D19" s="3">
        <f>GETPIVOTDATA("Total Sales",$D$16)</f>
        <v>874064</v>
      </c>
      <c r="F19" s="3">
        <f>GETPIVOTDATA("Profit",$F$16)</f>
        <v>154420.38</v>
      </c>
      <c r="H19" s="4">
        <f>GETPIVOTDATA("Discount",$H$16)</f>
        <v>16.78</v>
      </c>
    </row>
    <row r="20" spans="1:2">
      <c r="A20" s="1" t="s">
        <v>44</v>
      </c>
      <c r="B20" s="2">
        <v>117558</v>
      </c>
    </row>
    <row r="21" spans="1:2">
      <c r="A21" s="1" t="s">
        <v>32</v>
      </c>
      <c r="B21" s="2">
        <v>47981</v>
      </c>
    </row>
    <row r="22" spans="1:2">
      <c r="A22" s="1" t="s">
        <v>29</v>
      </c>
      <c r="B22" s="2">
        <v>82304</v>
      </c>
    </row>
    <row r="23" spans="1:2">
      <c r="A23" s="1" t="s">
        <v>38</v>
      </c>
      <c r="B23" s="2">
        <v>67984</v>
      </c>
    </row>
    <row r="24" spans="1:2">
      <c r="A24" s="1" t="s">
        <v>35</v>
      </c>
      <c r="B24" s="2">
        <v>61873</v>
      </c>
    </row>
    <row r="25" spans="1:2">
      <c r="A25" s="1" t="s">
        <v>47</v>
      </c>
      <c r="B25" s="2">
        <v>83415</v>
      </c>
    </row>
    <row r="26" spans="1:2">
      <c r="A26" s="1" t="s">
        <v>21</v>
      </c>
      <c r="B26" s="2">
        <v>30163</v>
      </c>
    </row>
    <row r="27" spans="1:2">
      <c r="A27" s="1" t="s">
        <v>18</v>
      </c>
      <c r="B27" s="2">
        <v>26440</v>
      </c>
    </row>
    <row r="28" spans="1:2">
      <c r="A28" s="1" t="s">
        <v>27</v>
      </c>
      <c r="B28" s="2">
        <v>103793</v>
      </c>
    </row>
    <row r="29" spans="1:2">
      <c r="A29" s="1" t="s">
        <v>68</v>
      </c>
      <c r="B29" s="2">
        <v>874064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4" workbookViewId="0">
      <selection activeCell="W16" sqref="W16"/>
    </sheetView>
  </sheetViews>
  <sheetFormatPr defaultColWidth="9" defaultRowHeight="14.4"/>
  <cols>
    <col min="7" max="7" width="6.88888888888889" customWidth="1"/>
    <col min="18" max="18" width="9.11111111111111" customWidth="1"/>
    <col min="19" max="19" width="11.1111111111111" customWidth="1"/>
  </cols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Myntra  Dataset</vt:lpstr>
      <vt:lpstr>Pivort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99673</dc:creator>
  <cp:lastModifiedBy>Manasvi Jagtap</cp:lastModifiedBy>
  <dcterms:created xsi:type="dcterms:W3CDTF">2025-10-08T04:58:00Z</dcterms:created>
  <dcterms:modified xsi:type="dcterms:W3CDTF">2025-11-22T14:31:46Z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4D8B43F7B5AB465B97495AAB7921A09A_12</vt:lpwstr>
  </property>
  <property fmtid="{D5CDD505-2E9C-101B-9397-08002B2CF9AE}" pid="3" name="KSOProductBuildVer">
    <vt:lpwstr>1033-12.2.0.23155</vt:lpwstr>
  </property>
</Properties>
</file>